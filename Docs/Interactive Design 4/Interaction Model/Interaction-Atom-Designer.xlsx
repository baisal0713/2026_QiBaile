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er" sheetId="1" state="visible" r:id="rId1"/>
    <sheet xmlns:r="http://schemas.openxmlformats.org/officeDocument/2006/relationships" name="Lookup" sheetId="2" state="visible" r:id="rId2"/>
    <sheet xmlns:r="http://schemas.openxmlformats.org/officeDocument/2006/relationships" name="CurveData" sheetId="3" state="visible" r:id="rId3"/>
    <sheet xmlns:r="http://schemas.openxmlformats.org/officeDocument/2006/relationships" name="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</font>
    <font>
      <b val="1"/>
      <sz val="9"/>
    </font>
    <font>
      <b val="1"/>
      <color rgb="002980B9"/>
    </font>
    <font>
      <b val="1"/>
      <color rgb="00000000"/>
      <sz val="9"/>
    </font>
    <font>
      <b val="1"/>
      <color rgb="002980B9"/>
      <sz val="9"/>
    </font>
    <font>
      <name val="Calibri"/>
      <b val="1"/>
      <color rgb="00FFFFFF"/>
      <sz val="14"/>
    </font>
    <font>
      <name val="Calibri"/>
      <b val="1"/>
      <color rgb="002C3E50"/>
      <sz val="10"/>
    </font>
    <font>
      <name val="Calibri"/>
      <sz val="11"/>
    </font>
    <font>
      <name val="Calibri"/>
      <i val="1"/>
      <color rgb="007F8C8D"/>
      <sz val="9"/>
    </font>
    <font>
      <name val="Calibri"/>
      <i val="1"/>
      <color rgb="007F8C8D"/>
      <sz val="11"/>
    </font>
    <font>
      <name val="Calibri"/>
      <b val="1"/>
      <color rgb="002980B9"/>
      <sz val="11"/>
    </font>
    <font>
      <b val="1"/>
      <color rgb="00FFFFFF"/>
      <sz val="11"/>
    </font>
    <font>
      <name val="Calibri"/>
      <sz val="10"/>
    </font>
    <font>
      <name val="Calibri"/>
      <color rgb="007F8C8D"/>
      <sz val="9"/>
    </font>
    <font>
      <name val="Calibri"/>
      <b val="1"/>
      <color rgb="002980B9"/>
      <sz val="10"/>
    </font>
    <font>
      <name val="Calibri"/>
      <b val="1"/>
      <color rgb="00FFFFFF"/>
      <sz val="8"/>
    </font>
    <font>
      <name val="Calibri"/>
      <sz val="9"/>
    </font>
  </fonts>
  <fills count="8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CF0F1"/>
      </patternFill>
    </fill>
    <fill>
      <patternFill patternType="solid">
        <fgColor rgb="0034495E"/>
      </patternFill>
    </fill>
    <fill>
      <patternFill patternType="solid">
        <fgColor rgb="002980B9"/>
      </patternFill>
    </fill>
    <fill>
      <patternFill patternType="solid">
        <fgColor rgb="00EBF5FB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right" vertical="center"/>
    </xf>
    <xf numFmtId="0" fontId="0" fillId="3" borderId="1" pivotButton="0" quotePrefix="0" xfId="0"/>
    <xf numFmtId="0" fontId="8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9" fillId="0" borderId="0" pivotButton="0" quotePrefix="0" xfId="0"/>
    <xf numFmtId="0" fontId="0" fillId="4" borderId="1" pivotButton="0" quotePrefix="0" xfId="0"/>
    <xf numFmtId="0" fontId="9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left" vertical="center" wrapText="1"/>
    </xf>
    <xf numFmtId="0" fontId="14" fillId="6" borderId="0" applyAlignment="1" pivotButton="0" quotePrefix="0" xfId="0">
      <alignment horizontal="left" vertical="center"/>
    </xf>
    <xf numFmtId="0" fontId="15" fillId="6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16" fillId="2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5">
    <dxf>
      <font>
        <name val="Calibri"/>
        <color rgb="00AAAAAA"/>
        <sz val="10"/>
      </font>
      <fill>
        <patternFill patternType="solid">
          <fgColor rgb="00E0E0E0"/>
        </patternFill>
      </fill>
    </dxf>
    <dxf>
      <fill>
        <patternFill patternType="solid">
          <fgColor rgb="00DCEEFB"/>
        </patternFill>
      </fill>
    </dxf>
    <dxf>
      <fill>
        <patternFill patternType="solid">
          <fgColor rgb="00D5F5E3"/>
        </patternFill>
      </fill>
    </dxf>
    <dxf>
      <fill>
        <patternFill patternType="solid">
          <fgColor rgb="00FEF5E7"/>
        </patternFill>
      </fill>
    </dxf>
    <dxf>
      <fill>
        <patternFill patternType="solid">
          <fgColor rgb="00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Curve Shape</a:t>
            </a:r>
          </a:p>
        </rich>
      </tx>
    </title>
    <plotArea>
      <scatterChart>
        <ser>
          <idx val="0"/>
          <order val="0"/>
          <tx>
            <v>Selected Curve</v>
          </tx>
          <spPr>
            <a:ln xmlns:a="http://schemas.openxmlformats.org/drawingml/2006/main" w="28000">
              <a:solidFill>
                <a:srgbClr val="2980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'CurveData'!$A$2:$A$52</f>
            </numRef>
          </xVal>
          <yVal>
            <numRef>
              <f>'CurveData'!$M$2:$M$52</f>
            </numRef>
          </yVal>
          <smooth val="1"/>
        </ser>
        <ser>
          <idx val="1"/>
          <order val="1"/>
          <tx>
            <v>y=1</v>
          </tx>
          <spPr>
            <a:ln xmlns:a="http://schemas.openxmlformats.org/drawingml/2006/main" w="10000">
              <a:solidFill>
                <a:srgbClr val="BDC3C7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'CurveData'!$O$2:$O$3</f>
            </numRef>
          </xVal>
          <yVal>
            <numRef>
              <f>'CurveData'!$P$2:$P$3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Input (bound)  /  Playback Progress (unbound)</a:t>
                </a:r>
              </a:p>
            </rich>
          </tx>
        </title>
        <numFmt formatCode="0.0" sourceLinked="0"/>
        <majorTickMark val="none"/>
        <minorTickMark val="none"/>
        <crossAx val="20"/>
      </valAx>
      <valAx>
        <axId val="20"/>
        <scaling>
          <orientation val="minMax"/>
          <max val="1.5"/>
          <min val="-0.0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Output (normalized)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Timeline Response</a:t>
            </a:r>
          </a:p>
        </rich>
      </tx>
    </title>
    <plotArea>
      <scatterChart>
        <ser>
          <idx val="0"/>
          <order val="0"/>
          <tx>
            <v>Input</v>
          </tx>
          <spPr>
            <a:ln xmlns:a="http://schemas.openxmlformats.org/drawingml/2006/main" w="15000">
              <a:solidFill>
                <a:srgbClr val="BDC3C7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'Timeline'!$A$2:$A$102</f>
            </numRef>
          </xVal>
          <yVal>
            <numRef>
              <f>'Timeline'!$F$2:$F$102</f>
            </numRef>
          </yVal>
        </ser>
        <ser>
          <idx val="1"/>
          <order val="1"/>
          <tx>
            <v>Target</v>
          </tx>
          <spPr>
            <a:ln xmlns:a="http://schemas.openxmlformats.org/drawingml/2006/main" w="10000">
              <a:solidFill>
                <a:srgbClr val="F5B7B1"/>
              </a:solidFill>
              <a:prstDash val="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'Timeline'!$A$2:$A$102</f>
            </numRef>
          </xVal>
          <yVal>
            <numRef>
              <f>'Timeline'!$G$2:$G$102</f>
            </numRef>
          </yVal>
        </ser>
        <ser>
          <idx val="2"/>
          <order val="2"/>
          <tx>
            <v>Output</v>
          </tx>
          <spPr>
            <a:ln xmlns:a="http://schemas.openxmlformats.org/drawingml/2006/main" w="28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'Timeline'!$A$2:$A$102</f>
            </numRef>
          </xVal>
          <yVal>
            <numRef>
              <f>'Timeline'!$H$2:$H$102</f>
            </numRef>
          </yVal>
        </ser>
        <axId val="10"/>
        <axId val="20"/>
      </scatterChart>
      <valAx>
        <axId val="10"/>
        <scaling>
          <orientation val="minMax"/>
          <max val="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(seconds)</a:t>
                </a:r>
              </a:p>
            </rich>
          </tx>
        </title>
        <numFmt formatCode="0.0" sourceLinked="0"/>
        <majorTickMark val="none"/>
        <minorTickMark val="none"/>
        <crossAx val="20"/>
      </valAx>
      <valAx>
        <axId val="20"/>
        <scaling>
          <orientation val="minMax"/>
          <max val="1.5"/>
          <min val="-0.0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(normalized 0–1)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16</row>
      <rowOff>0</rowOff>
    </from>
    <ext cx="648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8E44AD"/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cols>
    <col width="16" customWidth="1" min="1" max="1"/>
    <col width="4" customWidth="1" min="2" max="2"/>
    <col width="18" customWidth="1" min="3" max="3"/>
    <col width="14" customWidth="1" min="4" max="4"/>
    <col width="14" customWidth="1" min="5" max="5"/>
    <col width="14" customWidth="1" min="6" max="6"/>
    <col width="2" customWidth="1" min="7" max="7"/>
  </cols>
  <sheetData>
    <row r="1" ht="30" customHeight="1">
      <c r="A1" s="1" t="inlineStr">
        <is>
          <t>INTERACTION ATOM DESIGNER</t>
        </is>
      </c>
    </row>
    <row r="2" ht="6" customHeight="1"/>
    <row r="3" ht="22" customHeight="1">
      <c r="A3" s="2" t="inlineStr">
        <is>
          <t>INPUT</t>
        </is>
      </c>
      <c r="B3" s="3" t="n"/>
      <c r="C3" s="4" t="inlineStr">
        <is>
          <t>Proximity</t>
        </is>
      </c>
      <c r="D3" s="5" t="inlineStr">
        <is>
          <t>← select input source</t>
        </is>
      </c>
    </row>
    <row r="4" ht="22" customHeight="1">
      <c r="A4" s="2" t="inlineStr">
        <is>
          <t>SIGNAL</t>
        </is>
      </c>
      <c r="B4" s="3" t="n"/>
      <c r="C4" s="6">
        <f>IF($C$3="","",IF(OR($C$3="Proximity",$C$3="Gaze Direction",$C$3="Gaze Duration",$C$3="Stillness",$C$3="Velocity",$C$3="Slider",$C$3="Time",$C$3="Random"),"Continuous","Binary"))</f>
        <v/>
      </c>
      <c r="D4" s="5" t="inlineStr">
        <is>
          <t>auto from Input</t>
        </is>
      </c>
    </row>
    <row r="5" ht="22" customHeight="1">
      <c r="A5" s="2" t="inlineStr">
        <is>
          <t>RELATIONSHIP</t>
        </is>
      </c>
      <c r="B5" s="3" t="n"/>
      <c r="C5" s="4" t="inlineStr">
        <is>
          <t>Bound</t>
        </is>
      </c>
    </row>
    <row r="6" ht="22" customHeight="1">
      <c r="A6" s="2" t="inlineStr">
        <is>
          <t>MODE</t>
        </is>
      </c>
      <c r="B6" s="3" t="n"/>
      <c r="C6" s="7">
        <f>IF(OR($C$4="",$C$5=""),"",IF(AND($C$4="Continuous",$C$5="Bound"),"Tracking",IF(AND($C$4="Continuous",$C$5="Unbound"),"Threshold Trigger",IF(AND($C$4="Binary",$C$5="Bound"),"Switch",IF(AND($C$4="Binary",$C$5="Unbound"),"One-Shot","")))))</f>
        <v/>
      </c>
      <c r="D6" s="8">
        <f>IF($C$6="Tracking","output tracks input continuously",IF($C$6="Threshold Trigger","threshold crossing triggers playback",IF($C$6="Switch","output switches between ON/OFF states",IF($C$6="One-Shot","event triggers independent playback",""))))</f>
        <v/>
      </c>
    </row>
    <row r="7" ht="6" customHeight="1">
      <c r="A7" s="9" t="n"/>
      <c r="B7" s="9" t="n"/>
      <c r="C7" s="9" t="n"/>
      <c r="D7" s="9" t="n"/>
      <c r="E7" s="9" t="n"/>
      <c r="F7" s="9" t="n"/>
    </row>
    <row r="8" ht="22" customHeight="1">
      <c r="A8" s="2" t="inlineStr">
        <is>
          <t>CURVE</t>
        </is>
      </c>
      <c r="B8" s="3" t="n"/>
      <c r="C8" s="4" t="inlineStr">
        <is>
          <t>Linear</t>
        </is>
      </c>
    </row>
    <row r="9" ht="22" customHeight="1">
      <c r="A9" s="2" t="inlineStr">
        <is>
          <t>INPUT RANGE</t>
        </is>
      </c>
      <c r="B9" s="10" t="inlineStr">
        <is>
          <t>min</t>
        </is>
      </c>
      <c r="C9" s="4" t="n">
        <v>0</v>
      </c>
      <c r="D9" s="11">
        <f>IF($C$6="Threshold Trigger","threshold","max")</f>
        <v/>
      </c>
      <c r="E9" s="4" t="n">
        <v>5</v>
      </c>
    </row>
    <row r="10" ht="22" customHeight="1">
      <c r="A10" s="2" t="inlineStr">
        <is>
          <t>OUTPUT RANGE</t>
        </is>
      </c>
      <c r="B10" s="10" t="inlineStr">
        <is>
          <t>min</t>
        </is>
      </c>
      <c r="C10" s="4" t="n">
        <v>0</v>
      </c>
      <c r="D10" s="11" t="inlineStr">
        <is>
          <t>max</t>
        </is>
      </c>
      <c r="E10" s="4" t="n">
        <v>1</v>
      </c>
    </row>
    <row r="11" ht="22" customHeight="1">
      <c r="A11" s="2" t="inlineStr">
        <is>
          <t>ATTACK</t>
        </is>
      </c>
      <c r="B11" s="3" t="n"/>
      <c r="C11" s="4" t="inlineStr">
        <is>
          <t>—</t>
        </is>
      </c>
    </row>
    <row r="12" ht="22" customHeight="1">
      <c r="A12" s="2" t="inlineStr">
        <is>
          <t>RELEASE</t>
        </is>
      </c>
      <c r="B12" s="3" t="n"/>
      <c r="C12" s="4" t="inlineStr">
        <is>
          <t>—</t>
        </is>
      </c>
    </row>
    <row r="13" ht="22" customHeight="1">
      <c r="A13" s="2" t="inlineStr">
        <is>
          <t>DURATION</t>
        </is>
      </c>
      <c r="B13" s="3" t="n"/>
      <c r="C13" s="4" t="inlineStr">
        <is>
          <t>—</t>
        </is>
      </c>
      <c r="D13" s="5">
        <f>IF(OR($C$6="Tracking",$C$6="Switch"),"— continuous","sec")</f>
        <v/>
      </c>
    </row>
    <row r="14" ht="6" customHeight="1">
      <c r="A14" s="9" t="n"/>
      <c r="B14" s="9" t="n"/>
      <c r="C14" s="9" t="n"/>
      <c r="D14" s="9" t="n"/>
      <c r="E14" s="9" t="n"/>
      <c r="F14" s="9" t="n"/>
    </row>
    <row r="15" ht="22" customHeight="1">
      <c r="A15" s="2" t="inlineStr">
        <is>
          <t>OUTPUT</t>
        </is>
      </c>
      <c r="B15" s="3" t="n"/>
      <c r="C15" s="4" t="inlineStr">
        <is>
          <t>Emission Intensity</t>
        </is>
      </c>
    </row>
    <row r="16" ht="22" customHeight="1">
      <c r="A16" s="2" t="inlineStr">
        <is>
          <t>DOMAIN</t>
        </is>
      </c>
      <c r="B16" s="3" t="n"/>
      <c r="C16" s="4" t="inlineStr">
        <is>
          <t>Light</t>
        </is>
      </c>
    </row>
    <row r="17" ht="22" customHeight="1">
      <c r="A17" s="2" t="inlineStr">
        <is>
          <t>SCENARIO</t>
        </is>
      </c>
      <c r="B17" s="3" t="n"/>
      <c r="C17" s="4" t="inlineStr">
        <is>
          <t>Approach</t>
        </is>
      </c>
      <c r="D17" s="5" t="inlineStr">
        <is>
          <t>for timeline chart →</t>
        </is>
      </c>
    </row>
    <row r="18" ht="6" customHeight="1">
      <c r="A18" s="9" t="n"/>
      <c r="B18" s="9" t="n"/>
      <c r="C18" s="9" t="n"/>
      <c r="D18" s="9" t="n"/>
      <c r="E18" s="9" t="n"/>
      <c r="F18" s="9" t="n"/>
    </row>
    <row r="19" ht="24" customHeight="1">
      <c r="A19" s="12" t="inlineStr">
        <is>
          <t>RESULT</t>
        </is>
      </c>
    </row>
    <row r="20" ht="36" customHeight="1">
      <c r="A20" s="13">
        <f>IF($C$6="Tracking",CONCATENATE("When ",$C$3," changes, ",$C$15," tracks it with a ",$C$8," curve."),IF($C$6="Threshold Trigger",CONCATENATE("When ",$C$3," crosses ",$E$9,", ",$C$15," plays a ",$C$8," shape for ",$C$13,"."),IF($C$6="Switch",CONCATENATE("When ",$C$3," activates, ",$C$15," transitions ",$C$11," on / ",$C$12," off."),CONCATENATE("When ",$C$3," fires, ",$C$15," plays a ",$C$8," shape for ",$C$13,"."))))</f>
        <v/>
      </c>
    </row>
    <row r="21">
      <c r="A21" s="14">
        <f>CONCATENATE("Mode: ",C6,IF(C8&lt;&gt;"—",CONCATENATE("  ·  Curve: ",C8),""),IF(AND(C11&lt;&gt;"—",C11&lt;&gt;""),CONCATENATE("  ·  Attack: ",C11),""),IF(AND(C12&lt;&gt;"—",C12&lt;&gt;""),CONCATENATE("  ·  Release: ",C12),""),IF(AND(C13&lt;&gt;"—",C13&lt;&gt;""),CONCATENATE("  ·  Duration: ",C13),""))</f>
        <v/>
      </c>
    </row>
    <row r="22" ht="24" customHeight="1">
      <c r="A22" s="15">
        <f>CONCATENATE("Coupling: ",IF($C$6="Tracking",  CONCATENATE(    IF($C$8="Linear","Attentive",IF($C$8="Inverse","Reluctant",      IF($C$8="Ease-out","Responsive",IF($C$8="Ease-in","Delayed","Shaped")))),    ", ",    IF(OR($C$11="—",$C$11="Instant",$C$11=""),      IF(OR($C$12="—",$C$12="Instant",$C$12=""),"crisp","lingering"),      IF(OR($C$12="—",$C$12="Instant",$C$12=""),"reluctant onset, crisp","atmospheric"))),IF($C$6="Switch",  CONCATENATE(    IF(OR($C$11="Instant",$C$11="Fast"),"Eager","Reluctant"),    ", ",    IF(OR($C$12="Instant",$C$12="Fast"),"crisp","lingering")),IF($C$6="One-Shot",  IF($C$8="Burst","Explosive, eager",    IF($C$8="Swell","Organic, breathing",      IF($C$8="Snap+tail","Sharp, then lingering",        IF($C$8="Overshoot","Playful, bouncy","Expressive")))),"Threshold-triggered"))))</f>
        <v/>
      </c>
    </row>
    <row r="24" ht="20" customHeight="1">
      <c r="A24" s="16" t="inlineStr">
        <is>
          <t>COPY TO ATLAS →  select row 26, copy, paste into Atlas sheet</t>
        </is>
      </c>
    </row>
    <row r="25">
      <c r="A25" s="17" t="inlineStr">
        <is>
          <t>#</t>
        </is>
      </c>
      <c r="B25" s="17" t="inlineStr">
        <is>
          <t>Name</t>
        </is>
      </c>
      <c r="C25" s="17" t="inlineStr">
        <is>
          <t>Input</t>
        </is>
      </c>
      <c r="D25" s="17" t="inlineStr">
        <is>
          <t>Signal</t>
        </is>
      </c>
      <c r="E25" s="17" t="inlineStr">
        <is>
          <t>Rel</t>
        </is>
      </c>
      <c r="F25" s="17" t="inlineStr">
        <is>
          <t>Mode</t>
        </is>
      </c>
      <c r="G25" s="17" t="inlineStr">
        <is>
          <t>Curve</t>
        </is>
      </c>
      <c r="H25" s="17" t="inlineStr">
        <is>
          <t>In Min</t>
        </is>
      </c>
      <c r="I25" s="17" t="inlineStr">
        <is>
          <t>In Max</t>
        </is>
      </c>
      <c r="J25" s="17" t="inlineStr">
        <is>
          <t>Out Min</t>
        </is>
      </c>
      <c r="K25" s="17" t="inlineStr">
        <is>
          <t>Out Max</t>
        </is>
      </c>
      <c r="L25" s="17" t="inlineStr">
        <is>
          <t>Attack</t>
        </is>
      </c>
      <c r="M25" s="17" t="inlineStr">
        <is>
          <t>Release</t>
        </is>
      </c>
      <c r="N25" s="17" t="inlineStr">
        <is>
          <t>Duration</t>
        </is>
      </c>
      <c r="O25" s="17" t="inlineStr">
        <is>
          <t>Output</t>
        </is>
      </c>
      <c r="P25" s="17" t="inlineStr">
        <is>
          <t>Domain</t>
        </is>
      </c>
      <c r="Q25" s="17" t="inlineStr">
        <is>
          <t>Feel</t>
        </is>
      </c>
    </row>
    <row r="26">
      <c r="A26" s="18" t="inlineStr"/>
      <c r="B26" s="18">
        <f>CONCATENATE($C$3," → ",$C$15)</f>
        <v/>
      </c>
      <c r="C26" s="18">
        <f>$C$3</f>
        <v/>
      </c>
      <c r="D26" s="18">
        <f>$C$4</f>
        <v/>
      </c>
      <c r="E26" s="18">
        <f>$C$5</f>
        <v/>
      </c>
      <c r="F26" s="18">
        <f>$C$6</f>
        <v/>
      </c>
      <c r="G26" s="18">
        <f>$C$8</f>
        <v/>
      </c>
      <c r="H26" s="18">
        <f>IF(OR($C$6="Threshold Trigger",$C$6="Switch",$C$6="One-Shot"),"—",$C$9)</f>
        <v/>
      </c>
      <c r="I26" s="18">
        <f>IF(OR($C$6="Switch",$C$6="One-Shot"),"—",$E$9)</f>
        <v/>
      </c>
      <c r="J26" s="18">
        <f>$C$10</f>
        <v/>
      </c>
      <c r="K26" s="18">
        <f>$E$10</f>
        <v/>
      </c>
      <c r="L26" s="18">
        <f>IF(OR($C$6="Threshold Trigger",$C$6="One-Shot"),"—",$C$11)</f>
        <v/>
      </c>
      <c r="M26" s="18">
        <f>IF(OR($C$6="Threshold Trigger",$C$6="One-Shot"),"—",$C$12)</f>
        <v/>
      </c>
      <c r="N26" s="18">
        <f>IF(OR($C$6="Tracking",$C$6="Switch"),"—",$C$13)</f>
        <v/>
      </c>
      <c r="O26" s="18">
        <f>$C$15</f>
        <v/>
      </c>
      <c r="P26" s="18">
        <f>$C$16</f>
        <v/>
      </c>
      <c r="Q26" s="18" t="inlineStr"/>
    </row>
  </sheetData>
  <mergeCells count="6">
    <mergeCell ref="A24:F24"/>
    <mergeCell ref="A19:F19"/>
    <mergeCell ref="A1:F1"/>
    <mergeCell ref="A22:F22"/>
    <mergeCell ref="A20:F20"/>
    <mergeCell ref="A21:F21"/>
  </mergeCells>
  <conditionalFormatting sqref="A8:E8">
    <cfRule type="expression" priority="1" dxfId="0">
      <formula>$C$6="Switch"</formula>
    </cfRule>
  </conditionalFormatting>
  <conditionalFormatting sqref="A9:C9">
    <cfRule type="expression" priority="2" dxfId="0">
      <formula>OR($C$6="Threshold Trigger",$C$6="Switch",$C$6="One-Shot")</formula>
    </cfRule>
  </conditionalFormatting>
  <conditionalFormatting sqref="D9:E9">
    <cfRule type="expression" priority="3" dxfId="0">
      <formula>OR($C$6="Switch",$C$6="One-Shot")</formula>
    </cfRule>
  </conditionalFormatting>
  <conditionalFormatting sqref="A11:E11">
    <cfRule type="expression" priority="4" dxfId="0">
      <formula>OR($C$6="Threshold Trigger",$C$6="One-Shot")</formula>
    </cfRule>
  </conditionalFormatting>
  <conditionalFormatting sqref="A12:E12">
    <cfRule type="expression" priority="5" dxfId="0">
      <formula>OR($C$6="Threshold Trigger",$C$6="One-Shot")</formula>
    </cfRule>
  </conditionalFormatting>
  <conditionalFormatting sqref="A13:E13">
    <cfRule type="expression" priority="6" dxfId="0">
      <formula>OR($C$6="Tracking",$C$6="Switch")</formula>
    </cfRule>
  </conditionalFormatting>
  <conditionalFormatting sqref="C6">
    <cfRule type="expression" priority="7" dxfId="1">
      <formula>$C$6="Tracking"</formula>
    </cfRule>
    <cfRule type="expression" priority="8" dxfId="2">
      <formula>$C$6="Threshold Trigger"</formula>
    </cfRule>
    <cfRule type="expression" priority="9" dxfId="3">
      <formula>$C$6="Switch"</formula>
    </cfRule>
    <cfRule type="expression" priority="10" dxfId="4">
      <formula>$C$6="One-Shot"</formula>
    </cfRule>
  </conditionalFormatting>
  <dataValidations count="8">
    <dataValidation sqref="C3" showDropDown="0" showInputMessage="0" showErrorMessage="0" allowBlank="1" promptTitle="Input" prompt="What triggers this interaction?" type="list">
      <formula1>"Proximity,Gaze Direction,Gaze Duration,Stillness,Velocity,Slider,Time,Random,Contact,Button,Toggle,Grab,Throw"</formula1>
    </dataValidation>
    <dataValidation sqref="C5" showDropDown="0" showInputMessage="0" showErrorMessage="0" allowBlank="1" promptTitle="Relationship" prompt="Bound = output follows input. Unbound = output plays independently." type="list">
      <formula1>"Bound,Unbound"</formula1>
    </dataValidation>
    <dataValidation sqref="C8" showDropDown="0" showInputMessage="0" showErrorMessage="0" allowBlank="1" promptTitle="Curve" prompt="Mapping shape. Bound: input→output. Unbound: time→output response." type="list">
      <formula1>"Linear,Ease-in,Ease-out,Ease-in-out,Inverse,S-curve,Burst,Swell,Snap+tail,Overshoot,Spike"</formula1>
    </dataValidation>
    <dataValidation sqref="C11" showDropDown="0" showInputMessage="0" showErrorMessage="0" allowBlank="1" promptTitle="Attack" prompt="How fast does output reach target?" type="list">
      <formula1>"Instant,Fast,Medium,Slow,Very Slow,—"</formula1>
    </dataValidation>
    <dataValidation sqref="C12" showDropDown="0" showInputMessage="0" showErrorMessage="0" allowBlank="1" promptTitle="Release" prompt="How fast does output return to rest?" type="list">
      <formula1>"Instant,Fast,Medium,Slow,Very Slow,—"</formula1>
    </dataValidation>
    <dataValidation sqref="C17" showDropDown="0" showInputMessage="0" showErrorMessage="0" allowBlank="1" promptTitle="Scenario" prompt="Input pattern for timeline chart." type="list">
      <formula1>"Approach,Enter/Exit,Pulse,Oscillation"</formula1>
    </dataValidation>
    <dataValidation sqref="C15" showDropDown="0" showInputMessage="0" showErrorMessage="0" allowBlank="1" promptTitle="Output" prompt="What property changes?" type="list">
      <formula1>Lookup!$A$11:$A$48</formula1>
    </dataValidation>
    <dataValidation sqref="C16" showDropDown="0" showInputMessage="0" showErrorMessage="0" allowBlank="1" promptTitle="Domain" prompt="Perceptual category." type="list">
      <formula1>"Light,Material,Transform,Spawn,Particles,Sound,Environment,Post-Proc,Camera"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95A5A6"/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9" t="inlineStr">
        <is>
          <t>Speed</t>
        </is>
      </c>
      <c r="B1" s="19" t="inlineStr">
        <is>
          <t>Factor</t>
        </is>
      </c>
    </row>
    <row r="2">
      <c r="A2" t="inlineStr">
        <is>
          <t>Instant</t>
        </is>
      </c>
      <c r="B2" t="n">
        <v>1</v>
      </c>
    </row>
    <row r="3">
      <c r="A3" t="inlineStr">
        <is>
          <t>Fast</t>
        </is>
      </c>
      <c r="B3" t="n">
        <v>0.5</v>
      </c>
    </row>
    <row r="4">
      <c r="A4" t="inlineStr">
        <is>
          <t>Medium</t>
        </is>
      </c>
      <c r="B4" t="n">
        <v>0.2</v>
      </c>
    </row>
    <row r="5">
      <c r="A5" t="inlineStr">
        <is>
          <t>Slow</t>
        </is>
      </c>
      <c r="B5" t="n">
        <v>0.08</v>
      </c>
    </row>
    <row r="6">
      <c r="A6" t="inlineStr">
        <is>
          <t>Very Slow</t>
        </is>
      </c>
      <c r="B6" t="n">
        <v>0.03</v>
      </c>
    </row>
    <row r="7">
      <c r="A7" t="inlineStr">
        <is>
          <t>—</t>
        </is>
      </c>
      <c r="B7" t="n">
        <v>1</v>
      </c>
    </row>
    <row r="10">
      <c r="A10" s="19" t="inlineStr">
        <is>
          <t>Outputs</t>
        </is>
      </c>
    </row>
    <row r="11">
      <c r="A11" t="inlineStr">
        <is>
          <t>Emission Intensity</t>
        </is>
      </c>
    </row>
    <row r="12">
      <c r="A12" t="inlineStr">
        <is>
          <t>Emission Color</t>
        </is>
      </c>
    </row>
    <row r="13">
      <c r="A13" t="inlineStr">
        <is>
          <t>Point/Spot Intensity</t>
        </is>
      </c>
    </row>
    <row r="14">
      <c r="A14" t="inlineStr">
        <is>
          <t>Light Color</t>
        </is>
      </c>
    </row>
    <row r="15">
      <c r="A15" t="inlineStr">
        <is>
          <t>Base Color</t>
        </is>
      </c>
    </row>
    <row r="16">
      <c r="A16" t="inlineStr">
        <is>
          <t>Smoothness</t>
        </is>
      </c>
    </row>
    <row r="17">
      <c r="A17" t="inlineStr">
        <is>
          <t>Metallic</t>
        </is>
      </c>
    </row>
    <row r="18">
      <c r="A18" t="inlineStr">
        <is>
          <t>Alpha / Opacity</t>
        </is>
      </c>
    </row>
    <row r="19">
      <c r="A19" t="inlineStr">
        <is>
          <t>Dissolve</t>
        </is>
      </c>
    </row>
    <row r="20">
      <c r="A20" t="inlineStr">
        <is>
          <t>Fresnel / Rim Glow</t>
        </is>
      </c>
    </row>
    <row r="21">
      <c r="A21" t="inlineStr">
        <is>
          <t>Normal Map Strength</t>
        </is>
      </c>
    </row>
    <row r="22">
      <c r="A22" t="inlineStr">
        <is>
          <t>Scale (uniform)</t>
        </is>
      </c>
    </row>
    <row r="23">
      <c r="A23" t="inlineStr">
        <is>
          <t>Position</t>
        </is>
      </c>
    </row>
    <row r="24">
      <c r="A24" t="inlineStr">
        <is>
          <t>Rotation</t>
        </is>
      </c>
    </row>
    <row r="25">
      <c r="A25" t="inlineStr">
        <is>
          <t>Object Activation</t>
        </is>
      </c>
    </row>
    <row r="26">
      <c r="A26" t="inlineStr">
        <is>
          <t>Spawn Object</t>
        </is>
      </c>
    </row>
    <row r="27">
      <c r="A27" t="inlineStr">
        <is>
          <t>Destroy Object</t>
        </is>
      </c>
    </row>
    <row r="28">
      <c r="A28" t="inlineStr">
        <is>
          <t>Emission Rate</t>
        </is>
      </c>
    </row>
    <row r="29">
      <c r="A29" t="inlineStr">
        <is>
          <t>Particle Size</t>
        </is>
      </c>
    </row>
    <row r="30">
      <c r="A30" t="inlineStr">
        <is>
          <t>Particle Speed</t>
        </is>
      </c>
    </row>
    <row r="31">
      <c r="A31" t="inlineStr">
        <is>
          <t>Burst (VFX)</t>
        </is>
      </c>
    </row>
    <row r="32">
      <c r="A32" t="inlineStr">
        <is>
          <t>Volume</t>
        </is>
      </c>
    </row>
    <row r="33">
      <c r="A33" t="inlineStr">
        <is>
          <t>Pitch</t>
        </is>
      </c>
    </row>
    <row r="34">
      <c r="A34" t="inlineStr">
        <is>
          <t>Spatial Blend</t>
        </is>
      </c>
    </row>
    <row r="35">
      <c r="A35" t="inlineStr">
        <is>
          <t>Low-Pass Filter</t>
        </is>
      </c>
    </row>
    <row r="36">
      <c r="A36" t="inlineStr">
        <is>
          <t>Play / Stop</t>
        </is>
      </c>
    </row>
    <row r="37">
      <c r="A37" t="inlineStr">
        <is>
          <t>Fog Density</t>
        </is>
      </c>
    </row>
    <row r="38">
      <c r="A38" t="inlineStr">
        <is>
          <t>Fog Color</t>
        </is>
      </c>
    </row>
    <row r="39">
      <c r="A39" t="inlineStr">
        <is>
          <t>Ambient Intensity</t>
        </is>
      </c>
    </row>
    <row r="40">
      <c r="A40" t="inlineStr">
        <is>
          <t>Ambient Color</t>
        </is>
      </c>
    </row>
    <row r="41">
      <c r="A41" t="inlineStr">
        <is>
          <t>Bloom Intensity</t>
        </is>
      </c>
    </row>
    <row r="42">
      <c r="A42" t="inlineStr">
        <is>
          <t>Color Temperature</t>
        </is>
      </c>
    </row>
    <row r="43">
      <c r="A43" t="inlineStr">
        <is>
          <t>Saturation</t>
        </is>
      </c>
    </row>
    <row r="44">
      <c r="A44" t="inlineStr">
        <is>
          <t>Vignette</t>
        </is>
      </c>
    </row>
    <row r="45">
      <c r="A45" t="inlineStr">
        <is>
          <t>Depth of Field</t>
        </is>
      </c>
    </row>
    <row r="46">
      <c r="A46" t="inlineStr">
        <is>
          <t>Chromatic Aberration</t>
        </is>
      </c>
    </row>
    <row r="47">
      <c r="A47" t="inlineStr">
        <is>
          <t>Field of View</t>
        </is>
      </c>
    </row>
    <row r="48">
      <c r="A48" t="inlineStr">
        <is>
          <t>Camera Shake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980B9"/>
    <outlinePr summaryBelow="1" summaryRight="1"/>
    <pageSetUpPr/>
  </sheetPr>
  <dimension ref="A1:P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9" t="inlineStr">
        <is>
          <t>X</t>
        </is>
      </c>
      <c r="B1" s="20" t="inlineStr">
        <is>
          <t>Linear</t>
        </is>
      </c>
      <c r="C1" s="20" t="inlineStr">
        <is>
          <t>Ease-in</t>
        </is>
      </c>
      <c r="D1" s="20" t="inlineStr">
        <is>
          <t>Ease-out</t>
        </is>
      </c>
      <c r="E1" s="20" t="inlineStr">
        <is>
          <t>Ease-in-out</t>
        </is>
      </c>
      <c r="F1" s="20" t="inlineStr">
        <is>
          <t>Inverse</t>
        </is>
      </c>
      <c r="G1" s="20" t="inlineStr">
        <is>
          <t>S-curve</t>
        </is>
      </c>
      <c r="H1" s="20" t="inlineStr">
        <is>
          <t>Burst</t>
        </is>
      </c>
      <c r="I1" s="20" t="inlineStr">
        <is>
          <t>Swell</t>
        </is>
      </c>
      <c r="J1" s="20" t="inlineStr">
        <is>
          <t>Snap+tail</t>
        </is>
      </c>
      <c r="K1" s="20" t="inlineStr">
        <is>
          <t>Overshoot</t>
        </is>
      </c>
      <c r="L1" s="20" t="inlineStr">
        <is>
          <t>Spike</t>
        </is>
      </c>
      <c r="M1" s="21" t="inlineStr">
        <is>
          <t>▶ Selected</t>
        </is>
      </c>
      <c r="O1" t="inlineStr">
        <is>
          <t>ref_x</t>
        </is>
      </c>
      <c r="P1" t="inlineStr">
        <is>
          <t>ref_y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>
        <f>IFERROR(INDEX($B2:$L2,1,MATCH(Designer!$C$8,$B$1:$L$1,0)),0)</f>
        <v/>
      </c>
      <c r="O2" t="n">
        <v>0</v>
      </c>
      <c r="P2" t="n">
        <v>1</v>
      </c>
    </row>
    <row r="3">
      <c r="A3" t="n">
        <v>0.02</v>
      </c>
      <c r="B3" t="n">
        <v>0.02</v>
      </c>
      <c r="C3" t="n">
        <v>0.0004</v>
      </c>
      <c r="D3" t="n">
        <v>0.0396</v>
      </c>
      <c r="E3" t="n">
        <v>0.0008</v>
      </c>
      <c r="F3" t="n">
        <v>0.98</v>
      </c>
      <c r="G3" t="n">
        <v>0.001184</v>
      </c>
      <c r="H3" t="n">
        <v>0.445108</v>
      </c>
      <c r="I3" t="n">
        <v>0.062791</v>
      </c>
      <c r="J3" t="n">
        <v>0.923116</v>
      </c>
      <c r="K3" t="n">
        <v>0.444074</v>
      </c>
      <c r="L3" t="n">
        <v>0.4</v>
      </c>
      <c r="M3">
        <f>IFERROR(INDEX($B3:$L3,1,MATCH(Designer!$C$8,$B$1:$L$1,0)),0)</f>
        <v/>
      </c>
      <c r="O3" t="n">
        <v>1</v>
      </c>
      <c r="P3" t="n">
        <v>1</v>
      </c>
    </row>
    <row r="4">
      <c r="A4" t="n">
        <v>0.04</v>
      </c>
      <c r="B4" t="n">
        <v>0.04</v>
      </c>
      <c r="C4" t="n">
        <v>0.0016</v>
      </c>
      <c r="D4" t="n">
        <v>0.0784</v>
      </c>
      <c r="E4" t="n">
        <v>0.0032</v>
      </c>
      <c r="F4" t="n">
        <v>0.96</v>
      </c>
      <c r="G4" t="n">
        <v>0.004672</v>
      </c>
      <c r="H4" t="n">
        <v>0.7288480000000001</v>
      </c>
      <c r="I4" t="n">
        <v>0.125333</v>
      </c>
      <c r="J4" t="n">
        <v>0.852144</v>
      </c>
      <c r="K4" t="n">
        <v>0.7772829999999999</v>
      </c>
      <c r="L4" t="n">
        <v>0.8</v>
      </c>
      <c r="M4">
        <f>IFERROR(INDEX($B4:$L4,1,MATCH(Designer!$C$8,$B$1:$L$1,0)),0)</f>
        <v/>
      </c>
    </row>
    <row r="5">
      <c r="A5" t="n">
        <v>0.06</v>
      </c>
      <c r="B5" t="n">
        <v>0.06</v>
      </c>
      <c r="C5" t="n">
        <v>0.0036</v>
      </c>
      <c r="D5" t="n">
        <v>0.1164</v>
      </c>
      <c r="E5" t="n">
        <v>0.0072</v>
      </c>
      <c r="F5" t="n">
        <v>0.9399999999999999</v>
      </c>
      <c r="G5" t="n">
        <v>0.010368</v>
      </c>
      <c r="H5" t="n">
        <v>0.895095</v>
      </c>
      <c r="I5" t="n">
        <v>0.187381</v>
      </c>
      <c r="J5" t="n">
        <v>0.786628</v>
      </c>
      <c r="K5" t="n">
        <v>1.020387</v>
      </c>
      <c r="L5" t="n">
        <v>0.989474</v>
      </c>
      <c r="M5">
        <f>IFERROR(INDEX($B5:$L5,1,MATCH(Designer!$C$8,$B$1:$L$1,0)),0)</f>
        <v/>
      </c>
    </row>
    <row r="6">
      <c r="A6" t="n">
        <v>0.08</v>
      </c>
      <c r="B6" t="n">
        <v>0.08</v>
      </c>
      <c r="C6" t="n">
        <v>0.0064</v>
      </c>
      <c r="D6" t="n">
        <v>0.1536</v>
      </c>
      <c r="E6" t="n">
        <v>0.0128</v>
      </c>
      <c r="F6" t="n">
        <v>0.92</v>
      </c>
      <c r="G6" t="n">
        <v>0.018176</v>
      </c>
      <c r="H6" t="n">
        <v>0.977122</v>
      </c>
      <c r="I6" t="n">
        <v>0.24869</v>
      </c>
      <c r="J6" t="n">
        <v>0.726149</v>
      </c>
      <c r="K6" t="n">
        <v>1.190687</v>
      </c>
      <c r="L6" t="n">
        <v>0.968421</v>
      </c>
      <c r="M6">
        <f>IFERROR(INDEX($B6:$L6,1,MATCH(Designer!$C$8,$B$1:$L$1,0)),0)</f>
        <v/>
      </c>
    </row>
    <row r="7">
      <c r="A7" t="n">
        <v>0.1</v>
      </c>
      <c r="B7" t="n">
        <v>0.1</v>
      </c>
      <c r="C7" t="n">
        <v>0.01</v>
      </c>
      <c r="D7" t="n">
        <v>0.19</v>
      </c>
      <c r="E7" t="n">
        <v>0.02</v>
      </c>
      <c r="F7" t="n">
        <v>0.9</v>
      </c>
      <c r="G7" t="n">
        <v>0.028</v>
      </c>
      <c r="H7" t="n">
        <v>1</v>
      </c>
      <c r="I7" t="n">
        <v>0.309017</v>
      </c>
      <c r="J7" t="n">
        <v>0.67032</v>
      </c>
      <c r="K7" t="n">
        <v>1.302572</v>
      </c>
      <c r="L7" t="n">
        <v>0.947368</v>
      </c>
      <c r="M7">
        <f>IFERROR(INDEX($B7:$L7,1,MATCH(Designer!$C$8,$B$1:$L$1,0)),0)</f>
        <v/>
      </c>
    </row>
    <row r="8">
      <c r="A8" t="n">
        <v>0.12</v>
      </c>
      <c r="B8" t="n">
        <v>0.12</v>
      </c>
      <c r="C8" t="n">
        <v>0.0144</v>
      </c>
      <c r="D8" t="n">
        <v>0.2256</v>
      </c>
      <c r="E8" t="n">
        <v>0.0288</v>
      </c>
      <c r="F8" t="n">
        <v>0.88</v>
      </c>
      <c r="G8" t="n">
        <v>0.039744</v>
      </c>
      <c r="H8" t="n">
        <v>0.982477</v>
      </c>
      <c r="I8" t="n">
        <v>0.368125</v>
      </c>
      <c r="J8" t="n">
        <v>0.618783</v>
      </c>
      <c r="K8" t="n">
        <v>1.367971</v>
      </c>
      <c r="L8" t="n">
        <v>0.926316</v>
      </c>
      <c r="M8">
        <f>IFERROR(INDEX($B8:$L8,1,MATCH(Designer!$C$8,$B$1:$L$1,0)),0)</f>
        <v/>
      </c>
    </row>
    <row r="9">
      <c r="A9" t="n">
        <v>0.14</v>
      </c>
      <c r="B9" t="n">
        <v>0.14</v>
      </c>
      <c r="C9" t="n">
        <v>0.0196</v>
      </c>
      <c r="D9" t="n">
        <v>0.2604</v>
      </c>
      <c r="E9" t="n">
        <v>0.0392</v>
      </c>
      <c r="F9" t="n">
        <v>0.86</v>
      </c>
      <c r="G9" t="n">
        <v>0.053312</v>
      </c>
      <c r="H9" t="n">
        <v>0.9384479999999999</v>
      </c>
      <c r="I9" t="n">
        <v>0.425779</v>
      </c>
      <c r="J9" t="n">
        <v>0.571209</v>
      </c>
      <c r="K9" t="n">
        <v>1.396747</v>
      </c>
      <c r="L9" t="n">
        <v>0.905263</v>
      </c>
      <c r="M9">
        <f>IFERROR(INDEX($B9:$L9,1,MATCH(Designer!$C$8,$B$1:$L$1,0)),0)</f>
        <v/>
      </c>
    </row>
    <row r="10">
      <c r="A10" t="n">
        <v>0.16</v>
      </c>
      <c r="B10" t="n">
        <v>0.16</v>
      </c>
      <c r="C10" t="n">
        <v>0.0256</v>
      </c>
      <c r="D10" t="n">
        <v>0.2944</v>
      </c>
      <c r="E10" t="n">
        <v>0.0512</v>
      </c>
      <c r="F10" t="n">
        <v>0.84</v>
      </c>
      <c r="G10" t="n">
        <v>0.068608</v>
      </c>
      <c r="H10" t="n">
        <v>0.878099</v>
      </c>
      <c r="I10" t="n">
        <v>0.481754</v>
      </c>
      <c r="J10" t="n">
        <v>0.527292</v>
      </c>
      <c r="K10" t="n">
        <v>1.397024</v>
      </c>
      <c r="L10" t="n">
        <v>0.884211</v>
      </c>
      <c r="M10">
        <f>IFERROR(INDEX($B10:$L10,1,MATCH(Designer!$C$8,$B$1:$L$1,0)),0)</f>
        <v/>
      </c>
    </row>
    <row r="11">
      <c r="A11" t="n">
        <v>0.18</v>
      </c>
      <c r="B11" t="n">
        <v>0.18</v>
      </c>
      <c r="C11" t="n">
        <v>0.0324</v>
      </c>
      <c r="D11" t="n">
        <v>0.3276</v>
      </c>
      <c r="E11" t="n">
        <v>0.0648</v>
      </c>
      <c r="F11" t="n">
        <v>0.82</v>
      </c>
      <c r="G11" t="n">
        <v>0.085536</v>
      </c>
      <c r="H11" t="n">
        <v>0.808792</v>
      </c>
      <c r="I11" t="n">
        <v>0.5358270000000001</v>
      </c>
      <c r="J11" t="n">
        <v>0.486752</v>
      </c>
      <c r="K11" t="n">
        <v>1.375468</v>
      </c>
      <c r="L11" t="n">
        <v>0.863158</v>
      </c>
      <c r="M11">
        <f>IFERROR(INDEX($B11:$L11,1,MATCH(Designer!$C$8,$B$1:$L$1,0)),0)</f>
        <v/>
      </c>
    </row>
    <row r="12">
      <c r="A12" t="n">
        <v>0.2</v>
      </c>
      <c r="B12" t="n">
        <v>0.2</v>
      </c>
      <c r="C12" t="n">
        <v>0.04</v>
      </c>
      <c r="D12" t="n">
        <v>0.36</v>
      </c>
      <c r="E12" t="n">
        <v>0.08</v>
      </c>
      <c r="F12" t="n">
        <v>0.8</v>
      </c>
      <c r="G12" t="n">
        <v>0.104</v>
      </c>
      <c r="H12" t="n">
        <v>0.7357590000000001</v>
      </c>
      <c r="I12" t="n">
        <v>0.587785</v>
      </c>
      <c r="J12" t="n">
        <v>0.449329</v>
      </c>
      <c r="K12" t="n">
        <v>1.337525</v>
      </c>
      <c r="L12" t="n">
        <v>0.842105</v>
      </c>
      <c r="M12">
        <f>IFERROR(INDEX($B12:$L12,1,MATCH(Designer!$C$8,$B$1:$L$1,0)),0)</f>
        <v/>
      </c>
    </row>
    <row r="13">
      <c r="A13" t="n">
        <v>0.22</v>
      </c>
      <c r="B13" t="n">
        <v>0.22</v>
      </c>
      <c r="C13" t="n">
        <v>0.0484</v>
      </c>
      <c r="D13" t="n">
        <v>0.3916</v>
      </c>
      <c r="E13" t="n">
        <v>0.0968</v>
      </c>
      <c r="F13" t="n">
        <v>0.78</v>
      </c>
      <c r="G13" t="n">
        <v>0.123904</v>
      </c>
      <c r="H13" t="n">
        <v>0.662627</v>
      </c>
      <c r="I13" t="n">
        <v>0.637424</v>
      </c>
      <c r="J13" t="n">
        <v>0.414783</v>
      </c>
      <c r="K13" t="n">
        <v>1.287623</v>
      </c>
      <c r="L13" t="n">
        <v>0.821053</v>
      </c>
      <c r="M13">
        <f>IFERROR(INDEX($B13:$L13,1,MATCH(Designer!$C$8,$B$1:$L$1,0)),0)</f>
        <v/>
      </c>
    </row>
    <row r="14">
      <c r="A14" t="n">
        <v>0.24</v>
      </c>
      <c r="B14" t="n">
        <v>0.24</v>
      </c>
      <c r="C14" t="n">
        <v>0.0576</v>
      </c>
      <c r="D14" t="n">
        <v>0.4224</v>
      </c>
      <c r="E14" t="n">
        <v>0.1152</v>
      </c>
      <c r="F14" t="n">
        <v>0.76</v>
      </c>
      <c r="G14" t="n">
        <v>0.145152</v>
      </c>
      <c r="H14" t="n">
        <v>0.5918330000000001</v>
      </c>
      <c r="I14" t="n">
        <v>0.684547</v>
      </c>
      <c r="J14" t="n">
        <v>0.382893</v>
      </c>
      <c r="K14" t="n">
        <v>1.229338</v>
      </c>
      <c r="L14" t="n">
        <v>0.8</v>
      </c>
      <c r="M14">
        <f>IFERROR(INDEX($B14:$L14,1,MATCH(Designer!$C$8,$B$1:$L$1,0)),0)</f>
        <v/>
      </c>
    </row>
    <row r="15">
      <c r="A15" t="n">
        <v>0.26</v>
      </c>
      <c r="B15" t="n">
        <v>0.26</v>
      </c>
      <c r="C15" t="n">
        <v>0.06759999999999999</v>
      </c>
      <c r="D15" t="n">
        <v>0.4524</v>
      </c>
      <c r="E15" t="n">
        <v>0.1352</v>
      </c>
      <c r="F15" t="n">
        <v>0.74</v>
      </c>
      <c r="G15" t="n">
        <v>0.167648</v>
      </c>
      <c r="H15" t="n">
        <v>0.524931</v>
      </c>
      <c r="I15" t="n">
        <v>0.728969</v>
      </c>
      <c r="J15" t="n">
        <v>0.353455</v>
      </c>
      <c r="K15" t="n">
        <v>1.165541</v>
      </c>
      <c r="L15" t="n">
        <v>0.7789469999999999</v>
      </c>
      <c r="M15">
        <f>IFERROR(INDEX($B15:$L15,1,MATCH(Designer!$C$8,$B$1:$L$1,0)),0)</f>
        <v/>
      </c>
    </row>
    <row r="16">
      <c r="A16" t="n">
        <v>0.28</v>
      </c>
      <c r="B16" t="n">
        <v>0.28</v>
      </c>
      <c r="C16" t="n">
        <v>0.0784</v>
      </c>
      <c r="D16" t="n">
        <v>0.4816</v>
      </c>
      <c r="E16" t="n">
        <v>0.1568</v>
      </c>
      <c r="F16" t="n">
        <v>0.72</v>
      </c>
      <c r="G16" t="n">
        <v>0.191296</v>
      </c>
      <c r="H16" t="n">
        <v>0.462837</v>
      </c>
      <c r="I16" t="n">
        <v>0.770513</v>
      </c>
      <c r="J16" t="n">
        <v>0.32628</v>
      </c>
      <c r="K16" t="n">
        <v>1.098516</v>
      </c>
      <c r="L16" t="n">
        <v>0.757895</v>
      </c>
      <c r="M16">
        <f>IFERROR(INDEX($B16:$L16,1,MATCH(Designer!$C$8,$B$1:$L$1,0)),0)</f>
        <v/>
      </c>
    </row>
    <row r="17">
      <c r="A17" t="n">
        <v>0.3</v>
      </c>
      <c r="B17" t="n">
        <v>0.3</v>
      </c>
      <c r="C17" t="n">
        <v>0.09</v>
      </c>
      <c r="D17" t="n">
        <v>0.51</v>
      </c>
      <c r="E17" t="n">
        <v>0.18</v>
      </c>
      <c r="F17" t="n">
        <v>0.7</v>
      </c>
      <c r="G17" t="n">
        <v>0.216</v>
      </c>
      <c r="H17" t="n">
        <v>0.406006</v>
      </c>
      <c r="I17" t="n">
        <v>0.809017</v>
      </c>
      <c r="J17" t="n">
        <v>0.301194</v>
      </c>
      <c r="K17" t="n">
        <v>1.030062</v>
      </c>
      <c r="L17" t="n">
        <v>0.736842</v>
      </c>
      <c r="M17">
        <f>IFERROR(INDEX($B17:$L17,1,MATCH(Designer!$C$8,$B$1:$L$1,0)),0)</f>
        <v/>
      </c>
    </row>
    <row r="18">
      <c r="A18" t="n">
        <v>0.32</v>
      </c>
      <c r="B18" t="n">
        <v>0.32</v>
      </c>
      <c r="C18" t="n">
        <v>0.1024</v>
      </c>
      <c r="D18" t="n">
        <v>0.5376</v>
      </c>
      <c r="E18" t="n">
        <v>0.2048</v>
      </c>
      <c r="F18" t="n">
        <v>0.68</v>
      </c>
      <c r="G18" t="n">
        <v>0.241664</v>
      </c>
      <c r="H18" t="n">
        <v>0.35457</v>
      </c>
      <c r="I18" t="n">
        <v>0.844328</v>
      </c>
      <c r="J18" t="n">
        <v>0.278037</v>
      </c>
      <c r="K18" t="n">
        <v>0.961582</v>
      </c>
      <c r="L18" t="n">
        <v>0.715789</v>
      </c>
      <c r="M18">
        <f>IFERROR(INDEX($B18:$L18,1,MATCH(Designer!$C$8,$B$1:$L$1,0)),0)</f>
        <v/>
      </c>
    </row>
    <row r="19">
      <c r="A19" t="n">
        <v>0.34</v>
      </c>
      <c r="B19" t="n">
        <v>0.34</v>
      </c>
      <c r="C19" t="n">
        <v>0.1156</v>
      </c>
      <c r="D19" t="n">
        <v>0.5644</v>
      </c>
      <c r="E19" t="n">
        <v>0.2312</v>
      </c>
      <c r="F19" t="n">
        <v>0.66</v>
      </c>
      <c r="G19" t="n">
        <v>0.268192</v>
      </c>
      <c r="H19" t="n">
        <v>0.308441</v>
      </c>
      <c r="I19" t="n">
        <v>0.8763069999999999</v>
      </c>
      <c r="J19" t="n">
        <v>0.256661</v>
      </c>
      <c r="K19" t="n">
        <v>0.8941480000000001</v>
      </c>
      <c r="L19" t="n">
        <v>0.694737</v>
      </c>
      <c r="M19">
        <f>IFERROR(INDEX($B19:$L19,1,MATCH(Designer!$C$8,$B$1:$L$1,0)),0)</f>
        <v/>
      </c>
    </row>
    <row r="20">
      <c r="A20" t="n">
        <v>0.36</v>
      </c>
      <c r="B20" t="n">
        <v>0.36</v>
      </c>
      <c r="C20" t="n">
        <v>0.1296</v>
      </c>
      <c r="D20" t="n">
        <v>0.5904</v>
      </c>
      <c r="E20" t="n">
        <v>0.2592</v>
      </c>
      <c r="F20" t="n">
        <v>0.64</v>
      </c>
      <c r="G20" t="n">
        <v>0.295488</v>
      </c>
      <c r="H20" t="n">
        <v>0.267385</v>
      </c>
      <c r="I20" t="n">
        <v>0.904827</v>
      </c>
      <c r="J20" t="n">
        <v>0.236928</v>
      </c>
      <c r="K20" t="n">
        <v>0.828566</v>
      </c>
      <c r="L20" t="n">
        <v>0.6736839999999999</v>
      </c>
      <c r="M20">
        <f>IFERROR(INDEX($B20:$L20,1,MATCH(Designer!$C$8,$B$1:$L$1,0)),0)</f>
        <v/>
      </c>
    </row>
    <row r="21">
      <c r="A21" t="n">
        <v>0.38</v>
      </c>
      <c r="B21" t="n">
        <v>0.38</v>
      </c>
      <c r="C21" t="n">
        <v>0.1444</v>
      </c>
      <c r="D21" t="n">
        <v>0.6156</v>
      </c>
      <c r="E21" t="n">
        <v>0.2888</v>
      </c>
      <c r="F21" t="n">
        <v>0.62</v>
      </c>
      <c r="G21" t="n">
        <v>0.323456</v>
      </c>
      <c r="H21" t="n">
        <v>0.231078</v>
      </c>
      <c r="I21" t="n">
        <v>0.929776</v>
      </c>
      <c r="J21" t="n">
        <v>0.218712</v>
      </c>
      <c r="K21" t="n">
        <v>0.765424</v>
      </c>
      <c r="L21" t="n">
        <v>0.652632</v>
      </c>
      <c r="M21">
        <f>IFERROR(INDEX($B21:$L21,1,MATCH(Designer!$C$8,$B$1:$L$1,0)),0)</f>
        <v/>
      </c>
    </row>
    <row r="22">
      <c r="A22" t="n">
        <v>0.4</v>
      </c>
      <c r="B22" t="n">
        <v>0.4</v>
      </c>
      <c r="C22" t="n">
        <v>0.16</v>
      </c>
      <c r="D22" t="n">
        <v>0.64</v>
      </c>
      <c r="E22" t="n">
        <v>0.32</v>
      </c>
      <c r="F22" t="n">
        <v>0.6</v>
      </c>
      <c r="G22" t="n">
        <v>0.352</v>
      </c>
      <c r="H22" t="n">
        <v>0.199148</v>
      </c>
      <c r="I22" t="n">
        <v>0.951057</v>
      </c>
      <c r="J22" t="n">
        <v>0.201897</v>
      </c>
      <c r="K22" t="n">
        <v>0.705136</v>
      </c>
      <c r="L22" t="n">
        <v>0.631579</v>
      </c>
      <c r="M22">
        <f>IFERROR(INDEX($B22:$L22,1,MATCH(Designer!$C$8,$B$1:$L$1,0)),0)</f>
        <v/>
      </c>
    </row>
    <row r="23">
      <c r="A23" t="n">
        <v>0.42</v>
      </c>
      <c r="B23" t="n">
        <v>0.42</v>
      </c>
      <c r="C23" t="n">
        <v>0.1764</v>
      </c>
      <c r="D23" t="n">
        <v>0.6636</v>
      </c>
      <c r="E23" t="n">
        <v>0.3528</v>
      </c>
      <c r="F23" t="n">
        <v>0.58</v>
      </c>
      <c r="G23" t="n">
        <v>0.381024</v>
      </c>
      <c r="H23" t="n">
        <v>0.171201</v>
      </c>
      <c r="I23" t="n">
        <v>0.968583</v>
      </c>
      <c r="J23" t="n">
        <v>0.186374</v>
      </c>
      <c r="K23" t="n">
        <v>0.647972</v>
      </c>
      <c r="L23" t="n">
        <v>0.610526</v>
      </c>
      <c r="M23">
        <f>IFERROR(INDEX($B23:$L23,1,MATCH(Designer!$C$8,$B$1:$L$1,0)),0)</f>
        <v/>
      </c>
    </row>
    <row r="24">
      <c r="A24" t="n">
        <v>0.44</v>
      </c>
      <c r="B24" t="n">
        <v>0.44</v>
      </c>
      <c r="C24" t="n">
        <v>0.1936</v>
      </c>
      <c r="D24" t="n">
        <v>0.6864</v>
      </c>
      <c r="E24" t="n">
        <v>0.3872</v>
      </c>
      <c r="F24" t="n">
        <v>0.5600000000000001</v>
      </c>
      <c r="G24" t="n">
        <v>0.410432</v>
      </c>
      <c r="H24" t="n">
        <v>0.146842</v>
      </c>
      <c r="I24" t="n">
        <v>0.982287</v>
      </c>
      <c r="J24" t="n">
        <v>0.172045</v>
      </c>
      <c r="K24" t="n">
        <v>0.594092</v>
      </c>
      <c r="L24" t="n">
        <v>0.5894740000000001</v>
      </c>
      <c r="M24">
        <f>IFERROR(INDEX($B24:$L24,1,MATCH(Designer!$C$8,$B$1:$L$1,0)),0)</f>
        <v/>
      </c>
    </row>
    <row r="25">
      <c r="A25" t="n">
        <v>0.46</v>
      </c>
      <c r="B25" t="n">
        <v>0.46</v>
      </c>
      <c r="C25" t="n">
        <v>0.2116</v>
      </c>
      <c r="D25" t="n">
        <v>0.7084</v>
      </c>
      <c r="E25" t="n">
        <v>0.4232</v>
      </c>
      <c r="F25" t="n">
        <v>0.54</v>
      </c>
      <c r="G25" t="n">
        <v>0.440128</v>
      </c>
      <c r="H25" t="n">
        <v>0.125689</v>
      </c>
      <c r="I25" t="n">
        <v>0.992115</v>
      </c>
      <c r="J25" t="n">
        <v>0.158817</v>
      </c>
      <c r="K25" t="n">
        <v>0.543566</v>
      </c>
      <c r="L25" t="n">
        <v>0.568421</v>
      </c>
      <c r="M25">
        <f>IFERROR(INDEX($B25:$L25,1,MATCH(Designer!$C$8,$B$1:$L$1,0)),0)</f>
        <v/>
      </c>
    </row>
    <row r="26">
      <c r="A26" t="n">
        <v>0.48</v>
      </c>
      <c r="B26" t="n">
        <v>0.48</v>
      </c>
      <c r="C26" t="n">
        <v>0.2304</v>
      </c>
      <c r="D26" t="n">
        <v>0.7296</v>
      </c>
      <c r="E26" t="n">
        <v>0.4608</v>
      </c>
      <c r="F26" t="n">
        <v>0.52</v>
      </c>
      <c r="G26" t="n">
        <v>0.470016</v>
      </c>
      <c r="H26" t="n">
        <v>0.10738</v>
      </c>
      <c r="I26" t="n">
        <v>0.998027</v>
      </c>
      <c r="J26" t="n">
        <v>0.146607</v>
      </c>
      <c r="K26" t="n">
        <v>0.496398</v>
      </c>
      <c r="L26" t="n">
        <v>0.547368</v>
      </c>
      <c r="M26">
        <f>IFERROR(INDEX($B26:$L26,1,MATCH(Designer!$C$8,$B$1:$L$1,0)),0)</f>
        <v/>
      </c>
    </row>
    <row r="27">
      <c r="A27" t="n">
        <v>0.5</v>
      </c>
      <c r="B27" t="n">
        <v>0.5</v>
      </c>
      <c r="C27" t="n">
        <v>0.25</v>
      </c>
      <c r="D27" t="n">
        <v>0.75</v>
      </c>
      <c r="E27" t="n">
        <v>0.5</v>
      </c>
      <c r="F27" t="n">
        <v>0.5</v>
      </c>
      <c r="G27" t="n">
        <v>0.5</v>
      </c>
      <c r="H27" t="n">
        <v>0.09157800000000001</v>
      </c>
      <c r="I27" t="n">
        <v>1</v>
      </c>
      <c r="J27" t="n">
        <v>0.135335</v>
      </c>
      <c r="K27" t="n">
        <v>0.452536</v>
      </c>
      <c r="L27" t="n">
        <v>0.526316</v>
      </c>
      <c r="M27">
        <f>IFERROR(INDEX($B27:$L27,1,MATCH(Designer!$C$8,$B$1:$L$1,0)),0)</f>
        <v/>
      </c>
    </row>
    <row r="28">
      <c r="A28" t="n">
        <v>0.52</v>
      </c>
      <c r="B28" t="n">
        <v>0.52</v>
      </c>
      <c r="C28" t="n">
        <v>0.2704</v>
      </c>
      <c r="D28" t="n">
        <v>0.7696</v>
      </c>
      <c r="E28" t="n">
        <v>0.5392</v>
      </c>
      <c r="F28" t="n">
        <v>0.48</v>
      </c>
      <c r="G28" t="n">
        <v>0.529984</v>
      </c>
      <c r="H28" t="n">
        <v>0.077977</v>
      </c>
      <c r="I28" t="n">
        <v>0.998027</v>
      </c>
      <c r="J28" t="n">
        <v>0.12493</v>
      </c>
      <c r="K28" t="n">
        <v>0.411889</v>
      </c>
      <c r="L28" t="n">
        <v>0.505263</v>
      </c>
      <c r="M28">
        <f>IFERROR(INDEX($B28:$L28,1,MATCH(Designer!$C$8,$B$1:$L$1,0)),0)</f>
        <v/>
      </c>
    </row>
    <row r="29">
      <c r="A29" t="n">
        <v>0.54</v>
      </c>
      <c r="B29" t="n">
        <v>0.54</v>
      </c>
      <c r="C29" t="n">
        <v>0.2916</v>
      </c>
      <c r="D29" t="n">
        <v>0.7884</v>
      </c>
      <c r="E29" t="n">
        <v>0.5768</v>
      </c>
      <c r="F29" t="n">
        <v>0.46</v>
      </c>
      <c r="G29" t="n">
        <v>0.559872</v>
      </c>
      <c r="H29" t="n">
        <v>0.066298</v>
      </c>
      <c r="I29" t="n">
        <v>0.992115</v>
      </c>
      <c r="J29" t="n">
        <v>0.115325</v>
      </c>
      <c r="K29" t="n">
        <v>0.374339</v>
      </c>
      <c r="L29" t="n">
        <v>0.484211</v>
      </c>
      <c r="M29">
        <f>IFERROR(INDEX($B29:$L29,1,MATCH(Designer!$C$8,$B$1:$L$1,0)),0)</f>
        <v/>
      </c>
    </row>
    <row r="30">
      <c r="A30" t="n">
        <v>0.5600000000000001</v>
      </c>
      <c r="B30" t="n">
        <v>0.5600000000000001</v>
      </c>
      <c r="C30" t="n">
        <v>0.3136</v>
      </c>
      <c r="D30" t="n">
        <v>0.8064</v>
      </c>
      <c r="E30" t="n">
        <v>0.6128</v>
      </c>
      <c r="F30" t="n">
        <v>0.44</v>
      </c>
      <c r="G30" t="n">
        <v>0.589568</v>
      </c>
      <c r="H30" t="n">
        <v>0.05629</v>
      </c>
      <c r="I30" t="n">
        <v>0.982287</v>
      </c>
      <c r="J30" t="n">
        <v>0.106459</v>
      </c>
      <c r="K30" t="n">
        <v>0.339745</v>
      </c>
      <c r="L30" t="n">
        <v>0.463158</v>
      </c>
      <c r="M30">
        <f>IFERROR(INDEX($B30:$L30,1,MATCH(Designer!$C$8,$B$1:$L$1,0)),0)</f>
        <v/>
      </c>
    </row>
    <row r="31">
      <c r="A31" t="n">
        <v>0.58</v>
      </c>
      <c r="B31" t="n">
        <v>0.58</v>
      </c>
      <c r="C31" t="n">
        <v>0.3364</v>
      </c>
      <c r="D31" t="n">
        <v>0.8236</v>
      </c>
      <c r="E31" t="n">
        <v>0.6472</v>
      </c>
      <c r="F31" t="n">
        <v>0.42</v>
      </c>
      <c r="G31" t="n">
        <v>0.618976</v>
      </c>
      <c r="H31" t="n">
        <v>0.047733</v>
      </c>
      <c r="I31" t="n">
        <v>0.968583</v>
      </c>
      <c r="J31" t="n">
        <v>0.098274</v>
      </c>
      <c r="K31" t="n">
        <v>0.307955</v>
      </c>
      <c r="L31" t="n">
        <v>0.442105</v>
      </c>
      <c r="M31">
        <f>IFERROR(INDEX($B31:$L31,1,MATCH(Designer!$C$8,$B$1:$L$1,0)),0)</f>
        <v/>
      </c>
    </row>
    <row r="32">
      <c r="A32" t="n">
        <v>0.6</v>
      </c>
      <c r="B32" t="n">
        <v>0.6</v>
      </c>
      <c r="C32" t="n">
        <v>0.36</v>
      </c>
      <c r="D32" t="n">
        <v>0.84</v>
      </c>
      <c r="E32" t="n">
        <v>0.68</v>
      </c>
      <c r="F32" t="n">
        <v>0.4</v>
      </c>
      <c r="G32" t="n">
        <v>0.648</v>
      </c>
      <c r="H32" t="n">
        <v>0.040428</v>
      </c>
      <c r="I32" t="n">
        <v>0.951057</v>
      </c>
      <c r="J32" t="n">
        <v>0.09071799999999999</v>
      </c>
      <c r="K32" t="n">
        <v>0.278808</v>
      </c>
      <c r="L32" t="n">
        <v>0.421053</v>
      </c>
      <c r="M32">
        <f>IFERROR(INDEX($B32:$L32,1,MATCH(Designer!$C$8,$B$1:$L$1,0)),0)</f>
        <v/>
      </c>
    </row>
    <row r="33">
      <c r="A33" t="n">
        <v>0.62</v>
      </c>
      <c r="B33" t="n">
        <v>0.62</v>
      </c>
      <c r="C33" t="n">
        <v>0.3844</v>
      </c>
      <c r="D33" t="n">
        <v>0.8556</v>
      </c>
      <c r="E33" t="n">
        <v>0.7112000000000001</v>
      </c>
      <c r="F33" t="n">
        <v>0.38</v>
      </c>
      <c r="G33" t="n">
        <v>0.676544</v>
      </c>
      <c r="H33" t="n">
        <v>0.034203</v>
      </c>
      <c r="I33" t="n">
        <v>0.929776</v>
      </c>
      <c r="J33" t="n">
        <v>0.083743</v>
      </c>
      <c r="K33" t="n">
        <v>0.252138</v>
      </c>
      <c r="L33" t="n">
        <v>0.4</v>
      </c>
      <c r="M33">
        <f>IFERROR(INDEX($B33:$L33,1,MATCH(Designer!$C$8,$B$1:$L$1,0)),0)</f>
        <v/>
      </c>
    </row>
    <row r="34">
      <c r="A34" t="n">
        <v>0.64</v>
      </c>
      <c r="B34" t="n">
        <v>0.64</v>
      </c>
      <c r="C34" t="n">
        <v>0.4096</v>
      </c>
      <c r="D34" t="n">
        <v>0.8704</v>
      </c>
      <c r="E34" t="n">
        <v>0.7408</v>
      </c>
      <c r="F34" t="n">
        <v>0.36</v>
      </c>
      <c r="G34" t="n">
        <v>0.704512</v>
      </c>
      <c r="H34" t="n">
        <v>0.028906</v>
      </c>
      <c r="I34" t="n">
        <v>0.904827</v>
      </c>
      <c r="J34" t="n">
        <v>0.077305</v>
      </c>
      <c r="K34" t="n">
        <v>0.227783</v>
      </c>
      <c r="L34" t="n">
        <v>0.378947</v>
      </c>
      <c r="M34">
        <f>IFERROR(INDEX($B34:$L34,1,MATCH(Designer!$C$8,$B$1:$L$1,0)),0)</f>
        <v/>
      </c>
    </row>
    <row r="35">
      <c r="A35" t="n">
        <v>0.66</v>
      </c>
      <c r="B35" t="n">
        <v>0.66</v>
      </c>
      <c r="C35" t="n">
        <v>0.4356</v>
      </c>
      <c r="D35" t="n">
        <v>0.8844</v>
      </c>
      <c r="E35" t="n">
        <v>0.7688</v>
      </c>
      <c r="F35" t="n">
        <v>0.34</v>
      </c>
      <c r="G35" t="n">
        <v>0.731808</v>
      </c>
      <c r="H35" t="n">
        <v>0.024406</v>
      </c>
      <c r="I35" t="n">
        <v>0.8763069999999999</v>
      </c>
      <c r="J35" t="n">
        <v>0.07136099999999999</v>
      </c>
      <c r="K35" t="n">
        <v>0.205579</v>
      </c>
      <c r="L35" t="n">
        <v>0.357895</v>
      </c>
      <c r="M35">
        <f>IFERROR(INDEX($B35:$L35,1,MATCH(Designer!$C$8,$B$1:$L$1,0)),0)</f>
        <v/>
      </c>
    </row>
    <row r="36">
      <c r="A36" t="n">
        <v>0.68</v>
      </c>
      <c r="B36" t="n">
        <v>0.68</v>
      </c>
      <c r="C36" t="n">
        <v>0.4624</v>
      </c>
      <c r="D36" t="n">
        <v>0.8976</v>
      </c>
      <c r="E36" t="n">
        <v>0.7952</v>
      </c>
      <c r="F36" t="n">
        <v>0.32</v>
      </c>
      <c r="G36" t="n">
        <v>0.758336</v>
      </c>
      <c r="H36" t="n">
        <v>0.020587</v>
      </c>
      <c r="I36" t="n">
        <v>0.844328</v>
      </c>
      <c r="J36" t="n">
        <v>0.065875</v>
      </c>
      <c r="K36" t="n">
        <v>0.18537</v>
      </c>
      <c r="L36" t="n">
        <v>0.336842</v>
      </c>
      <c r="M36">
        <f>IFERROR(INDEX($B36:$L36,1,MATCH(Designer!$C$8,$B$1:$L$1,0)),0)</f>
        <v/>
      </c>
    </row>
    <row r="37">
      <c r="A37" t="n">
        <v>0.7</v>
      </c>
      <c r="B37" t="n">
        <v>0.7</v>
      </c>
      <c r="C37" t="n">
        <v>0.49</v>
      </c>
      <c r="D37" t="n">
        <v>0.91</v>
      </c>
      <c r="E37" t="n">
        <v>0.82</v>
      </c>
      <c r="F37" t="n">
        <v>0.3</v>
      </c>
      <c r="G37" t="n">
        <v>0.784</v>
      </c>
      <c r="H37" t="n">
        <v>0.017351</v>
      </c>
      <c r="I37" t="n">
        <v>0.809017</v>
      </c>
      <c r="J37" t="n">
        <v>0.06081</v>
      </c>
      <c r="K37" t="n">
        <v>0.167002</v>
      </c>
      <c r="L37" t="n">
        <v>0.315789</v>
      </c>
      <c r="M37">
        <f>IFERROR(INDEX($B37:$L37,1,MATCH(Designer!$C$8,$B$1:$L$1,0)),0)</f>
        <v/>
      </c>
    </row>
    <row r="38">
      <c r="A38" t="n">
        <v>0.72</v>
      </c>
      <c r="B38" t="n">
        <v>0.72</v>
      </c>
      <c r="C38" t="n">
        <v>0.5184</v>
      </c>
      <c r="D38" t="n">
        <v>0.9216</v>
      </c>
      <c r="E38" t="n">
        <v>0.8431999999999999</v>
      </c>
      <c r="F38" t="n">
        <v>0.28</v>
      </c>
      <c r="G38" t="n">
        <v>0.808704</v>
      </c>
      <c r="H38" t="n">
        <v>0.014612</v>
      </c>
      <c r="I38" t="n">
        <v>0.770513</v>
      </c>
      <c r="J38" t="n">
        <v>0.056135</v>
      </c>
      <c r="K38" t="n">
        <v>0.150332</v>
      </c>
      <c r="L38" t="n">
        <v>0.294737</v>
      </c>
      <c r="M38">
        <f>IFERROR(INDEX($B38:$L38,1,MATCH(Designer!$C$8,$B$1:$L$1,0)),0)</f>
        <v/>
      </c>
    </row>
    <row r="39">
      <c r="A39" t="n">
        <v>0.74</v>
      </c>
      <c r="B39" t="n">
        <v>0.74</v>
      </c>
      <c r="C39" t="n">
        <v>0.5476</v>
      </c>
      <c r="D39" t="n">
        <v>0.9324</v>
      </c>
      <c r="E39" t="n">
        <v>0.8648</v>
      </c>
      <c r="F39" t="n">
        <v>0.26</v>
      </c>
      <c r="G39" t="n">
        <v>0.832352</v>
      </c>
      <c r="H39" t="n">
        <v>0.012296</v>
      </c>
      <c r="I39" t="n">
        <v>0.728969</v>
      </c>
      <c r="J39" t="n">
        <v>0.051819</v>
      </c>
      <c r="K39" t="n">
        <v>0.135221</v>
      </c>
      <c r="L39" t="n">
        <v>0.273684</v>
      </c>
      <c r="M39">
        <f>IFERROR(INDEX($B39:$L39,1,MATCH(Designer!$C$8,$B$1:$L$1,0)),0)</f>
        <v/>
      </c>
    </row>
    <row r="40">
      <c r="A40" t="n">
        <v>0.76</v>
      </c>
      <c r="B40" t="n">
        <v>0.76</v>
      </c>
      <c r="C40" t="n">
        <v>0.5776</v>
      </c>
      <c r="D40" t="n">
        <v>0.9424</v>
      </c>
      <c r="E40" t="n">
        <v>0.8848</v>
      </c>
      <c r="F40" t="n">
        <v>0.24</v>
      </c>
      <c r="G40" t="n">
        <v>0.8548480000000001</v>
      </c>
      <c r="H40" t="n">
        <v>0.010339</v>
      </c>
      <c r="I40" t="n">
        <v>0.684547</v>
      </c>
      <c r="J40" t="n">
        <v>0.047835</v>
      </c>
      <c r="K40" t="n">
        <v>0.12154</v>
      </c>
      <c r="L40" t="n">
        <v>0.252632</v>
      </c>
      <c r="M40">
        <f>IFERROR(INDEX($B40:$L40,1,MATCH(Designer!$C$8,$B$1:$L$1,0)),0)</f>
        <v/>
      </c>
    </row>
    <row r="41">
      <c r="A41" t="n">
        <v>0.78</v>
      </c>
      <c r="B41" t="n">
        <v>0.78</v>
      </c>
      <c r="C41" t="n">
        <v>0.6084000000000001</v>
      </c>
      <c r="D41" t="n">
        <v>0.9516</v>
      </c>
      <c r="E41" t="n">
        <v>0.9032</v>
      </c>
      <c r="F41" t="n">
        <v>0.22</v>
      </c>
      <c r="G41" t="n">
        <v>0.876096</v>
      </c>
      <c r="H41" t="n">
        <v>0.008687</v>
      </c>
      <c r="I41" t="n">
        <v>0.637424</v>
      </c>
      <c r="J41" t="n">
        <v>0.044157</v>
      </c>
      <c r="K41" t="n">
        <v>0.109168</v>
      </c>
      <c r="L41" t="n">
        <v>0.231579</v>
      </c>
      <c r="M41">
        <f>IFERROR(INDEX($B41:$L41,1,MATCH(Designer!$C$8,$B$1:$L$1,0)),0)</f>
        <v/>
      </c>
    </row>
    <row r="42">
      <c r="A42" t="n">
        <v>0.8</v>
      </c>
      <c r="B42" t="n">
        <v>0.8</v>
      </c>
      <c r="C42" t="n">
        <v>0.64</v>
      </c>
      <c r="D42" t="n">
        <v>0.96</v>
      </c>
      <c r="E42" t="n">
        <v>0.92</v>
      </c>
      <c r="F42" t="n">
        <v>0.2</v>
      </c>
      <c r="G42" t="n">
        <v>0.896</v>
      </c>
      <c r="H42" t="n">
        <v>0.007295</v>
      </c>
      <c r="I42" t="n">
        <v>0.587785</v>
      </c>
      <c r="J42" t="n">
        <v>0.040762</v>
      </c>
      <c r="K42" t="n">
        <v>0.09799099999999999</v>
      </c>
      <c r="L42" t="n">
        <v>0.210526</v>
      </c>
      <c r="M42">
        <f>IFERROR(INDEX($B42:$L42,1,MATCH(Designer!$C$8,$B$1:$L$1,0)),0)</f>
        <v/>
      </c>
    </row>
    <row r="43">
      <c r="A43" t="n">
        <v>0.82</v>
      </c>
      <c r="B43" t="n">
        <v>0.82</v>
      </c>
      <c r="C43" t="n">
        <v>0.6724</v>
      </c>
      <c r="D43" t="n">
        <v>0.9676</v>
      </c>
      <c r="E43" t="n">
        <v>0.9352</v>
      </c>
      <c r="F43" t="n">
        <v>0.18</v>
      </c>
      <c r="G43" t="n">
        <v>0.9144640000000001</v>
      </c>
      <c r="H43" t="n">
        <v>0.006122</v>
      </c>
      <c r="I43" t="n">
        <v>0.5358270000000001</v>
      </c>
      <c r="J43" t="n">
        <v>0.037628</v>
      </c>
      <c r="K43" t="n">
        <v>0.087903</v>
      </c>
      <c r="L43" t="n">
        <v>0.189474</v>
      </c>
      <c r="M43">
        <f>IFERROR(INDEX($B43:$L43,1,MATCH(Designer!$C$8,$B$1:$L$1,0)),0)</f>
        <v/>
      </c>
    </row>
    <row r="44">
      <c r="A44" t="n">
        <v>0.84</v>
      </c>
      <c r="B44" t="n">
        <v>0.84</v>
      </c>
      <c r="C44" t="n">
        <v>0.7056</v>
      </c>
      <c r="D44" t="n">
        <v>0.9744</v>
      </c>
      <c r="E44" t="n">
        <v>0.9488</v>
      </c>
      <c r="F44" t="n">
        <v>0.16</v>
      </c>
      <c r="G44" t="n">
        <v>0.931392</v>
      </c>
      <c r="H44" t="n">
        <v>0.005135</v>
      </c>
      <c r="I44" t="n">
        <v>0.481754</v>
      </c>
      <c r="J44" t="n">
        <v>0.034735</v>
      </c>
      <c r="K44" t="n">
        <v>0.078806</v>
      </c>
      <c r="L44" t="n">
        <v>0.168421</v>
      </c>
      <c r="M44">
        <f>IFERROR(INDEX($B44:$L44,1,MATCH(Designer!$C$8,$B$1:$L$1,0)),0)</f>
        <v/>
      </c>
    </row>
    <row r="45">
      <c r="A45" t="n">
        <v>0.86</v>
      </c>
      <c r="B45" t="n">
        <v>0.86</v>
      </c>
      <c r="C45" t="n">
        <v>0.7396</v>
      </c>
      <c r="D45" t="n">
        <v>0.9804</v>
      </c>
      <c r="E45" t="n">
        <v>0.9608</v>
      </c>
      <c r="F45" t="n">
        <v>0.14</v>
      </c>
      <c r="G45" t="n">
        <v>0.946688</v>
      </c>
      <c r="H45" t="n">
        <v>0.004304</v>
      </c>
      <c r="I45" t="n">
        <v>0.425779</v>
      </c>
      <c r="J45" t="n">
        <v>0.032065</v>
      </c>
      <c r="K45" t="n">
        <v>0.07061099999999999</v>
      </c>
      <c r="L45" t="n">
        <v>0.147368</v>
      </c>
      <c r="M45">
        <f>IFERROR(INDEX($B45:$L45,1,MATCH(Designer!$C$8,$B$1:$L$1,0)),0)</f>
        <v/>
      </c>
    </row>
    <row r="46">
      <c r="A46" t="n">
        <v>0.88</v>
      </c>
      <c r="B46" t="n">
        <v>0.88</v>
      </c>
      <c r="C46" t="n">
        <v>0.7744</v>
      </c>
      <c r="D46" t="n">
        <v>0.9856</v>
      </c>
      <c r="E46" t="n">
        <v>0.9712</v>
      </c>
      <c r="F46" t="n">
        <v>0.12</v>
      </c>
      <c r="G46" t="n">
        <v>0.960256</v>
      </c>
      <c r="H46" t="n">
        <v>0.003606</v>
      </c>
      <c r="I46" t="n">
        <v>0.368125</v>
      </c>
      <c r="J46" t="n">
        <v>0.029599</v>
      </c>
      <c r="K46" t="n">
        <v>0.063234</v>
      </c>
      <c r="L46" t="n">
        <v>0.126316</v>
      </c>
      <c r="M46">
        <f>IFERROR(INDEX($B46:$L46,1,MATCH(Designer!$C$8,$B$1:$L$1,0)),0)</f>
        <v/>
      </c>
    </row>
    <row r="47">
      <c r="A47" t="n">
        <v>0.9</v>
      </c>
      <c r="B47" t="n">
        <v>0.9</v>
      </c>
      <c r="C47" t="n">
        <v>0.8100000000000001</v>
      </c>
      <c r="D47" t="n">
        <v>0.99</v>
      </c>
      <c r="E47" t="n">
        <v>0.98</v>
      </c>
      <c r="F47" t="n">
        <v>0.1</v>
      </c>
      <c r="G47" t="n">
        <v>0.972</v>
      </c>
      <c r="H47" t="n">
        <v>0.003019</v>
      </c>
      <c r="I47" t="n">
        <v>0.309017</v>
      </c>
      <c r="J47" t="n">
        <v>0.027324</v>
      </c>
      <c r="K47" t="n">
        <v>0.056599</v>
      </c>
      <c r="L47" t="n">
        <v>0.105263</v>
      </c>
      <c r="M47">
        <f>IFERROR(INDEX($B47:$L47,1,MATCH(Designer!$C$8,$B$1:$L$1,0)),0)</f>
        <v/>
      </c>
    </row>
    <row r="48">
      <c r="A48" t="n">
        <v>0.92</v>
      </c>
      <c r="B48" t="n">
        <v>0.92</v>
      </c>
      <c r="C48" t="n">
        <v>0.8464</v>
      </c>
      <c r="D48" t="n">
        <v>0.9936</v>
      </c>
      <c r="E48" t="n">
        <v>0.9872</v>
      </c>
      <c r="F48" t="n">
        <v>0.08</v>
      </c>
      <c r="G48" t="n">
        <v>0.981824</v>
      </c>
      <c r="H48" t="n">
        <v>0.002527</v>
      </c>
      <c r="I48" t="n">
        <v>0.24869</v>
      </c>
      <c r="J48" t="n">
        <v>0.025223</v>
      </c>
      <c r="K48" t="n">
        <v>0.050634</v>
      </c>
      <c r="L48" t="n">
        <v>0.08421099999999999</v>
      </c>
      <c r="M48">
        <f>IFERROR(INDEX($B48:$L48,1,MATCH(Designer!$C$8,$B$1:$L$1,0)),0)</f>
        <v/>
      </c>
    </row>
    <row r="49">
      <c r="A49" t="n">
        <v>0.9399999999999999</v>
      </c>
      <c r="B49" t="n">
        <v>0.9399999999999999</v>
      </c>
      <c r="C49" t="n">
        <v>0.8836000000000001</v>
      </c>
      <c r="D49" t="n">
        <v>0.9964</v>
      </c>
      <c r="E49" t="n">
        <v>0.9928</v>
      </c>
      <c r="F49" t="n">
        <v>0.06</v>
      </c>
      <c r="G49" t="n">
        <v>0.989632</v>
      </c>
      <c r="H49" t="n">
        <v>0.002114</v>
      </c>
      <c r="I49" t="n">
        <v>0.187381</v>
      </c>
      <c r="J49" t="n">
        <v>0.023284</v>
      </c>
      <c r="K49" t="n">
        <v>0.045277</v>
      </c>
      <c r="L49" t="n">
        <v>0.06315800000000001</v>
      </c>
      <c r="M49">
        <f>IFERROR(INDEX($B49:$L49,1,MATCH(Designer!$C$8,$B$1:$L$1,0)),0)</f>
        <v/>
      </c>
    </row>
    <row r="50">
      <c r="A50" t="n">
        <v>0.96</v>
      </c>
      <c r="B50" t="n">
        <v>0.96</v>
      </c>
      <c r="C50" t="n">
        <v>0.9216</v>
      </c>
      <c r="D50" t="n">
        <v>0.9984</v>
      </c>
      <c r="E50" t="n">
        <v>0.9968</v>
      </c>
      <c r="F50" t="n">
        <v>0.04</v>
      </c>
      <c r="G50" t="n">
        <v>0.995328</v>
      </c>
      <c r="H50" t="n">
        <v>0.001767</v>
      </c>
      <c r="I50" t="n">
        <v>0.125333</v>
      </c>
      <c r="J50" t="n">
        <v>0.021494</v>
      </c>
      <c r="K50" t="n">
        <v>0.040469</v>
      </c>
      <c r="L50" t="n">
        <v>0.042105</v>
      </c>
      <c r="M50">
        <f>IFERROR(INDEX($B50:$L50,1,MATCH(Designer!$C$8,$B$1:$L$1,0)),0)</f>
        <v/>
      </c>
    </row>
    <row r="51">
      <c r="A51" t="n">
        <v>0.98</v>
      </c>
      <c r="B51" t="n">
        <v>0.98</v>
      </c>
      <c r="C51" t="n">
        <v>0.9604</v>
      </c>
      <c r="D51" t="n">
        <v>0.9996</v>
      </c>
      <c r="E51" t="n">
        <v>0.9992</v>
      </c>
      <c r="F51" t="n">
        <v>0.02</v>
      </c>
      <c r="G51" t="n">
        <v>0.998816</v>
      </c>
      <c r="H51" t="n">
        <v>0.001477</v>
      </c>
      <c r="I51" t="n">
        <v>0.062791</v>
      </c>
      <c r="J51" t="n">
        <v>0.019841</v>
      </c>
      <c r="K51" t="n">
        <v>0.036155</v>
      </c>
      <c r="L51" t="n">
        <v>0.021053</v>
      </c>
      <c r="M51">
        <f>IFERROR(INDEX($B51:$L51,1,MATCH(Designer!$C$8,$B$1:$L$1,0)),0)</f>
        <v/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0.001234</v>
      </c>
      <c r="I52" t="n">
        <v>0</v>
      </c>
      <c r="J52" t="n">
        <v>0.018316</v>
      </c>
      <c r="K52" t="n">
        <v>0.032288</v>
      </c>
      <c r="L52" t="n">
        <v>0</v>
      </c>
      <c r="M52">
        <f>IFERROR(INDEX($B52:$L52,1,MATCH(Designer!$C$8,$B$1:$L$1,0)),0)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74C3C"/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2" t="inlineStr">
        <is>
          <t>Time</t>
        </is>
      </c>
      <c r="B1" s="22" t="inlineStr">
        <is>
          <t>Approach</t>
        </is>
      </c>
      <c r="C1" s="22" t="inlineStr">
        <is>
          <t>Enter/Exit</t>
        </is>
      </c>
      <c r="D1" s="22" t="inlineStr">
        <is>
          <t>Pulse</t>
        </is>
      </c>
      <c r="E1" s="22" t="inlineStr">
        <is>
          <t>Oscillation</t>
        </is>
      </c>
      <c r="F1" s="23" t="inlineStr">
        <is>
          <t>▶ Input</t>
        </is>
      </c>
      <c r="G1" s="23" t="inlineStr">
        <is>
          <t>▶ Target</t>
        </is>
      </c>
      <c r="H1" s="23" t="inlineStr">
        <is>
          <t>▶ Output</t>
        </is>
      </c>
    </row>
    <row r="2">
      <c r="A2" t="n">
        <v>0</v>
      </c>
      <c r="B2">
        <f>MIN(1,MAX(0,(A2-0.5)/3))</f>
        <v/>
      </c>
      <c r="C2">
        <f>IF(AND(A2&gt;=1,A2&lt;3.5),1,0)</f>
        <v/>
      </c>
      <c r="D2">
        <f>IF(AND(A2&gt;=1,A2&lt;1.3),1,0)</f>
        <v/>
      </c>
      <c r="E2">
        <f>0.5+0.5*SIN(2*PI()*A2/2)</f>
        <v/>
      </c>
      <c r="F2">
        <f>IFERROR(INDEX(B2:E2,1,MATCH(Designer!$C$17,B$1:E$1,0)),0)</f>
        <v/>
      </c>
      <c r="G2">
        <f>IF(OR(Designer!$C$6="Tracking",Designer!$C$6="Switch"),IFERROR(INDEX(CurveData!$M$2:$M$52,MAX(1,MATCH(MAX(0,MIN(1,F2)),CurveData!$A$2:$A$52,1))),0),IF(AND(A2&gt;=1,A2&lt;=1+Designer!$C$13),IFERROR(INDEX(CurveData!$M$2:$M$52,MAX(1,MATCH(MAX(0,MIN(1,(A2-1)/Designer!$C$13)),CurveData!$A$2:$A$52,1))),0),0))</f>
        <v/>
      </c>
      <c r="H2">
        <f>G2</f>
        <v/>
      </c>
    </row>
    <row r="3">
      <c r="A3" t="n">
        <v>0.05</v>
      </c>
      <c r="B3">
        <f>MIN(1,MAX(0,(A3-0.5)/3))</f>
        <v/>
      </c>
      <c r="C3">
        <f>IF(AND(A3&gt;=1,A3&lt;3.5),1,0)</f>
        <v/>
      </c>
      <c r="D3">
        <f>IF(AND(A3&gt;=1,A3&lt;1.3),1,0)</f>
        <v/>
      </c>
      <c r="E3">
        <f>0.5+0.5*SIN(2*PI()*A3/2)</f>
        <v/>
      </c>
      <c r="F3">
        <f>IFERROR(INDEX(B3:E3,1,MATCH(Designer!$C$17,B$1:E$1,0)),0)</f>
        <v/>
      </c>
      <c r="G3">
        <f>IF(OR(Designer!$C$6="Tracking",Designer!$C$6="Switch"),IFERROR(INDEX(CurveData!$M$2:$M$52,MAX(1,MATCH(MAX(0,MIN(1,F3)),CurveData!$A$2:$A$52,1))),0),IF(AND(A3&gt;=1,A3&lt;=1+Designer!$C$13),IFERROR(INDEX(CurveData!$M$2:$M$52,MAX(1,MATCH(MAX(0,MIN(1,(A3-1)/Designer!$C$13)),CurveData!$A$2:$A$52,1))),0),0))</f>
        <v/>
      </c>
      <c r="H3">
        <f>IF(OR(Designer!$C$6="Threshold Trigger",Designer!$C$6="One-Shot"),G3,H2+(G3-H2)*IF(G3&gt;H2,IFERROR(VLOOKUP(Designer!$C$11,Lookup!$A$2:$B$7,2,FALSE),1),IFERROR(VLOOKUP(Designer!$C$12,Lookup!$A$2:$B$7,2,FALSE),1)))</f>
        <v/>
      </c>
    </row>
    <row r="4">
      <c r="A4" t="n">
        <v>0.1</v>
      </c>
      <c r="B4">
        <f>MIN(1,MAX(0,(A4-0.5)/3))</f>
        <v/>
      </c>
      <c r="C4">
        <f>IF(AND(A4&gt;=1,A4&lt;3.5),1,0)</f>
        <v/>
      </c>
      <c r="D4">
        <f>IF(AND(A4&gt;=1,A4&lt;1.3),1,0)</f>
        <v/>
      </c>
      <c r="E4">
        <f>0.5+0.5*SIN(2*PI()*A4/2)</f>
        <v/>
      </c>
      <c r="F4">
        <f>IFERROR(INDEX(B4:E4,1,MATCH(Designer!$C$17,B$1:E$1,0)),0)</f>
        <v/>
      </c>
      <c r="G4">
        <f>IF(OR(Designer!$C$6="Tracking",Designer!$C$6="Switch"),IFERROR(INDEX(CurveData!$M$2:$M$52,MAX(1,MATCH(MAX(0,MIN(1,F4)),CurveData!$A$2:$A$52,1))),0),IF(AND(A4&gt;=1,A4&lt;=1+Designer!$C$13),IFERROR(INDEX(CurveData!$M$2:$M$52,MAX(1,MATCH(MAX(0,MIN(1,(A4-1)/Designer!$C$13)),CurveData!$A$2:$A$52,1))),0),0))</f>
        <v/>
      </c>
      <c r="H4">
        <f>IF(OR(Designer!$C$6="Threshold Trigger",Designer!$C$6="One-Shot"),G4,H3+(G4-H3)*IF(G4&gt;H3,IFERROR(VLOOKUP(Designer!$C$11,Lookup!$A$2:$B$7,2,FALSE),1),IFERROR(VLOOKUP(Designer!$C$12,Lookup!$A$2:$B$7,2,FALSE),1)))</f>
        <v/>
      </c>
    </row>
    <row r="5">
      <c r="A5" t="n">
        <v>0.15</v>
      </c>
      <c r="B5">
        <f>MIN(1,MAX(0,(A5-0.5)/3))</f>
        <v/>
      </c>
      <c r="C5">
        <f>IF(AND(A5&gt;=1,A5&lt;3.5),1,0)</f>
        <v/>
      </c>
      <c r="D5">
        <f>IF(AND(A5&gt;=1,A5&lt;1.3),1,0)</f>
        <v/>
      </c>
      <c r="E5">
        <f>0.5+0.5*SIN(2*PI()*A5/2)</f>
        <v/>
      </c>
      <c r="F5">
        <f>IFERROR(INDEX(B5:E5,1,MATCH(Designer!$C$17,B$1:E$1,0)),0)</f>
        <v/>
      </c>
      <c r="G5">
        <f>IF(OR(Designer!$C$6="Tracking",Designer!$C$6="Switch"),IFERROR(INDEX(CurveData!$M$2:$M$52,MAX(1,MATCH(MAX(0,MIN(1,F5)),CurveData!$A$2:$A$52,1))),0),IF(AND(A5&gt;=1,A5&lt;=1+Designer!$C$13),IFERROR(INDEX(CurveData!$M$2:$M$52,MAX(1,MATCH(MAX(0,MIN(1,(A5-1)/Designer!$C$13)),CurveData!$A$2:$A$52,1))),0),0))</f>
        <v/>
      </c>
      <c r="H5">
        <f>IF(OR(Designer!$C$6="Threshold Trigger",Designer!$C$6="One-Shot"),G5,H4+(G5-H4)*IF(G5&gt;H4,IFERROR(VLOOKUP(Designer!$C$11,Lookup!$A$2:$B$7,2,FALSE),1),IFERROR(VLOOKUP(Designer!$C$12,Lookup!$A$2:$B$7,2,FALSE),1)))</f>
        <v/>
      </c>
    </row>
    <row r="6">
      <c r="A6" t="n">
        <v>0.2</v>
      </c>
      <c r="B6">
        <f>MIN(1,MAX(0,(A6-0.5)/3))</f>
        <v/>
      </c>
      <c r="C6">
        <f>IF(AND(A6&gt;=1,A6&lt;3.5),1,0)</f>
        <v/>
      </c>
      <c r="D6">
        <f>IF(AND(A6&gt;=1,A6&lt;1.3),1,0)</f>
        <v/>
      </c>
      <c r="E6">
        <f>0.5+0.5*SIN(2*PI()*A6/2)</f>
        <v/>
      </c>
      <c r="F6">
        <f>IFERROR(INDEX(B6:E6,1,MATCH(Designer!$C$17,B$1:E$1,0)),0)</f>
        <v/>
      </c>
      <c r="G6">
        <f>IF(OR(Designer!$C$6="Tracking",Designer!$C$6="Switch"),IFERROR(INDEX(CurveData!$M$2:$M$52,MAX(1,MATCH(MAX(0,MIN(1,F6)),CurveData!$A$2:$A$52,1))),0),IF(AND(A6&gt;=1,A6&lt;=1+Designer!$C$13),IFERROR(INDEX(CurveData!$M$2:$M$52,MAX(1,MATCH(MAX(0,MIN(1,(A6-1)/Designer!$C$13)),CurveData!$A$2:$A$52,1))),0),0))</f>
        <v/>
      </c>
      <c r="H6">
        <f>IF(OR(Designer!$C$6="Threshold Trigger",Designer!$C$6="One-Shot"),G6,H5+(G6-H5)*IF(G6&gt;H5,IFERROR(VLOOKUP(Designer!$C$11,Lookup!$A$2:$B$7,2,FALSE),1),IFERROR(VLOOKUP(Designer!$C$12,Lookup!$A$2:$B$7,2,FALSE),1)))</f>
        <v/>
      </c>
    </row>
    <row r="7">
      <c r="A7" t="n">
        <v>0.25</v>
      </c>
      <c r="B7">
        <f>MIN(1,MAX(0,(A7-0.5)/3))</f>
        <v/>
      </c>
      <c r="C7">
        <f>IF(AND(A7&gt;=1,A7&lt;3.5),1,0)</f>
        <v/>
      </c>
      <c r="D7">
        <f>IF(AND(A7&gt;=1,A7&lt;1.3),1,0)</f>
        <v/>
      </c>
      <c r="E7">
        <f>0.5+0.5*SIN(2*PI()*A7/2)</f>
        <v/>
      </c>
      <c r="F7">
        <f>IFERROR(INDEX(B7:E7,1,MATCH(Designer!$C$17,B$1:E$1,0)),0)</f>
        <v/>
      </c>
      <c r="G7">
        <f>IF(OR(Designer!$C$6="Tracking",Designer!$C$6="Switch"),IFERROR(INDEX(CurveData!$M$2:$M$52,MAX(1,MATCH(MAX(0,MIN(1,F7)),CurveData!$A$2:$A$52,1))),0),IF(AND(A7&gt;=1,A7&lt;=1+Designer!$C$13),IFERROR(INDEX(CurveData!$M$2:$M$52,MAX(1,MATCH(MAX(0,MIN(1,(A7-1)/Designer!$C$13)),CurveData!$A$2:$A$52,1))),0),0))</f>
        <v/>
      </c>
      <c r="H7">
        <f>IF(OR(Designer!$C$6="Threshold Trigger",Designer!$C$6="One-Shot"),G7,H6+(G7-H6)*IF(G7&gt;H6,IFERROR(VLOOKUP(Designer!$C$11,Lookup!$A$2:$B$7,2,FALSE),1),IFERROR(VLOOKUP(Designer!$C$12,Lookup!$A$2:$B$7,2,FALSE),1)))</f>
        <v/>
      </c>
    </row>
    <row r="8">
      <c r="A8" t="n">
        <v>0.3</v>
      </c>
      <c r="B8">
        <f>MIN(1,MAX(0,(A8-0.5)/3))</f>
        <v/>
      </c>
      <c r="C8">
        <f>IF(AND(A8&gt;=1,A8&lt;3.5),1,0)</f>
        <v/>
      </c>
      <c r="D8">
        <f>IF(AND(A8&gt;=1,A8&lt;1.3),1,0)</f>
        <v/>
      </c>
      <c r="E8">
        <f>0.5+0.5*SIN(2*PI()*A8/2)</f>
        <v/>
      </c>
      <c r="F8">
        <f>IFERROR(INDEX(B8:E8,1,MATCH(Designer!$C$17,B$1:E$1,0)),0)</f>
        <v/>
      </c>
      <c r="G8">
        <f>IF(OR(Designer!$C$6="Tracking",Designer!$C$6="Switch"),IFERROR(INDEX(CurveData!$M$2:$M$52,MAX(1,MATCH(MAX(0,MIN(1,F8)),CurveData!$A$2:$A$52,1))),0),IF(AND(A8&gt;=1,A8&lt;=1+Designer!$C$13),IFERROR(INDEX(CurveData!$M$2:$M$52,MAX(1,MATCH(MAX(0,MIN(1,(A8-1)/Designer!$C$13)),CurveData!$A$2:$A$52,1))),0),0))</f>
        <v/>
      </c>
      <c r="H8">
        <f>IF(OR(Designer!$C$6="Threshold Trigger",Designer!$C$6="One-Shot"),G8,H7+(G8-H7)*IF(G8&gt;H7,IFERROR(VLOOKUP(Designer!$C$11,Lookup!$A$2:$B$7,2,FALSE),1),IFERROR(VLOOKUP(Designer!$C$12,Lookup!$A$2:$B$7,2,FALSE),1)))</f>
        <v/>
      </c>
    </row>
    <row r="9">
      <c r="A9" t="n">
        <v>0.35</v>
      </c>
      <c r="B9">
        <f>MIN(1,MAX(0,(A9-0.5)/3))</f>
        <v/>
      </c>
      <c r="C9">
        <f>IF(AND(A9&gt;=1,A9&lt;3.5),1,0)</f>
        <v/>
      </c>
      <c r="D9">
        <f>IF(AND(A9&gt;=1,A9&lt;1.3),1,0)</f>
        <v/>
      </c>
      <c r="E9">
        <f>0.5+0.5*SIN(2*PI()*A9/2)</f>
        <v/>
      </c>
      <c r="F9">
        <f>IFERROR(INDEX(B9:E9,1,MATCH(Designer!$C$17,B$1:E$1,0)),0)</f>
        <v/>
      </c>
      <c r="G9">
        <f>IF(OR(Designer!$C$6="Tracking",Designer!$C$6="Switch"),IFERROR(INDEX(CurveData!$M$2:$M$52,MAX(1,MATCH(MAX(0,MIN(1,F9)),CurveData!$A$2:$A$52,1))),0),IF(AND(A9&gt;=1,A9&lt;=1+Designer!$C$13),IFERROR(INDEX(CurveData!$M$2:$M$52,MAX(1,MATCH(MAX(0,MIN(1,(A9-1)/Designer!$C$13)),CurveData!$A$2:$A$52,1))),0),0))</f>
        <v/>
      </c>
      <c r="H9">
        <f>IF(OR(Designer!$C$6="Threshold Trigger",Designer!$C$6="One-Shot"),G9,H8+(G9-H8)*IF(G9&gt;H8,IFERROR(VLOOKUP(Designer!$C$11,Lookup!$A$2:$B$7,2,FALSE),1),IFERROR(VLOOKUP(Designer!$C$12,Lookup!$A$2:$B$7,2,FALSE),1)))</f>
        <v/>
      </c>
    </row>
    <row r="10">
      <c r="A10" t="n">
        <v>0.4</v>
      </c>
      <c r="B10">
        <f>MIN(1,MAX(0,(A10-0.5)/3))</f>
        <v/>
      </c>
      <c r="C10">
        <f>IF(AND(A10&gt;=1,A10&lt;3.5),1,0)</f>
        <v/>
      </c>
      <c r="D10">
        <f>IF(AND(A10&gt;=1,A10&lt;1.3),1,0)</f>
        <v/>
      </c>
      <c r="E10">
        <f>0.5+0.5*SIN(2*PI()*A10/2)</f>
        <v/>
      </c>
      <c r="F10">
        <f>IFERROR(INDEX(B10:E10,1,MATCH(Designer!$C$17,B$1:E$1,0)),0)</f>
        <v/>
      </c>
      <c r="G10">
        <f>IF(OR(Designer!$C$6="Tracking",Designer!$C$6="Switch"),IFERROR(INDEX(CurveData!$M$2:$M$52,MAX(1,MATCH(MAX(0,MIN(1,F10)),CurveData!$A$2:$A$52,1))),0),IF(AND(A10&gt;=1,A10&lt;=1+Designer!$C$13),IFERROR(INDEX(CurveData!$M$2:$M$52,MAX(1,MATCH(MAX(0,MIN(1,(A10-1)/Designer!$C$13)),CurveData!$A$2:$A$52,1))),0),0))</f>
        <v/>
      </c>
      <c r="H10">
        <f>IF(OR(Designer!$C$6="Threshold Trigger",Designer!$C$6="One-Shot"),G10,H9+(G10-H9)*IF(G10&gt;H9,IFERROR(VLOOKUP(Designer!$C$11,Lookup!$A$2:$B$7,2,FALSE),1),IFERROR(VLOOKUP(Designer!$C$12,Lookup!$A$2:$B$7,2,FALSE),1)))</f>
        <v/>
      </c>
    </row>
    <row r="11">
      <c r="A11" t="n">
        <v>0.45</v>
      </c>
      <c r="B11">
        <f>MIN(1,MAX(0,(A11-0.5)/3))</f>
        <v/>
      </c>
      <c r="C11">
        <f>IF(AND(A11&gt;=1,A11&lt;3.5),1,0)</f>
        <v/>
      </c>
      <c r="D11">
        <f>IF(AND(A11&gt;=1,A11&lt;1.3),1,0)</f>
        <v/>
      </c>
      <c r="E11">
        <f>0.5+0.5*SIN(2*PI()*A11/2)</f>
        <v/>
      </c>
      <c r="F11">
        <f>IFERROR(INDEX(B11:E11,1,MATCH(Designer!$C$17,B$1:E$1,0)),0)</f>
        <v/>
      </c>
      <c r="G11">
        <f>IF(OR(Designer!$C$6="Tracking",Designer!$C$6="Switch"),IFERROR(INDEX(CurveData!$M$2:$M$52,MAX(1,MATCH(MAX(0,MIN(1,F11)),CurveData!$A$2:$A$52,1))),0),IF(AND(A11&gt;=1,A11&lt;=1+Designer!$C$13),IFERROR(INDEX(CurveData!$M$2:$M$52,MAX(1,MATCH(MAX(0,MIN(1,(A11-1)/Designer!$C$13)),CurveData!$A$2:$A$52,1))),0),0))</f>
        <v/>
      </c>
      <c r="H11">
        <f>IF(OR(Designer!$C$6="Threshold Trigger",Designer!$C$6="One-Shot"),G11,H10+(G11-H10)*IF(G11&gt;H10,IFERROR(VLOOKUP(Designer!$C$11,Lookup!$A$2:$B$7,2,FALSE),1),IFERROR(VLOOKUP(Designer!$C$12,Lookup!$A$2:$B$7,2,FALSE),1)))</f>
        <v/>
      </c>
    </row>
    <row r="12">
      <c r="A12" t="n">
        <v>0.5</v>
      </c>
      <c r="B12">
        <f>MIN(1,MAX(0,(A12-0.5)/3))</f>
        <v/>
      </c>
      <c r="C12">
        <f>IF(AND(A12&gt;=1,A12&lt;3.5),1,0)</f>
        <v/>
      </c>
      <c r="D12">
        <f>IF(AND(A12&gt;=1,A12&lt;1.3),1,0)</f>
        <v/>
      </c>
      <c r="E12">
        <f>0.5+0.5*SIN(2*PI()*A12/2)</f>
        <v/>
      </c>
      <c r="F12">
        <f>IFERROR(INDEX(B12:E12,1,MATCH(Designer!$C$17,B$1:E$1,0)),0)</f>
        <v/>
      </c>
      <c r="G12">
        <f>IF(OR(Designer!$C$6="Tracking",Designer!$C$6="Switch"),IFERROR(INDEX(CurveData!$M$2:$M$52,MAX(1,MATCH(MAX(0,MIN(1,F12)),CurveData!$A$2:$A$52,1))),0),IF(AND(A12&gt;=1,A12&lt;=1+Designer!$C$13),IFERROR(INDEX(CurveData!$M$2:$M$52,MAX(1,MATCH(MAX(0,MIN(1,(A12-1)/Designer!$C$13)),CurveData!$A$2:$A$52,1))),0),0))</f>
        <v/>
      </c>
      <c r="H12">
        <f>IF(OR(Designer!$C$6="Threshold Trigger",Designer!$C$6="One-Shot"),G12,H11+(G12-H11)*IF(G12&gt;H11,IFERROR(VLOOKUP(Designer!$C$11,Lookup!$A$2:$B$7,2,FALSE),1),IFERROR(VLOOKUP(Designer!$C$12,Lookup!$A$2:$B$7,2,FALSE),1)))</f>
        <v/>
      </c>
    </row>
    <row r="13">
      <c r="A13" t="n">
        <v>0.55</v>
      </c>
      <c r="B13">
        <f>MIN(1,MAX(0,(A13-0.5)/3))</f>
        <v/>
      </c>
      <c r="C13">
        <f>IF(AND(A13&gt;=1,A13&lt;3.5),1,0)</f>
        <v/>
      </c>
      <c r="D13">
        <f>IF(AND(A13&gt;=1,A13&lt;1.3),1,0)</f>
        <v/>
      </c>
      <c r="E13">
        <f>0.5+0.5*SIN(2*PI()*A13/2)</f>
        <v/>
      </c>
      <c r="F13">
        <f>IFERROR(INDEX(B13:E13,1,MATCH(Designer!$C$17,B$1:E$1,0)),0)</f>
        <v/>
      </c>
      <c r="G13">
        <f>IF(OR(Designer!$C$6="Tracking",Designer!$C$6="Switch"),IFERROR(INDEX(CurveData!$M$2:$M$52,MAX(1,MATCH(MAX(0,MIN(1,F13)),CurveData!$A$2:$A$52,1))),0),IF(AND(A13&gt;=1,A13&lt;=1+Designer!$C$13),IFERROR(INDEX(CurveData!$M$2:$M$52,MAX(1,MATCH(MAX(0,MIN(1,(A13-1)/Designer!$C$13)),CurveData!$A$2:$A$52,1))),0),0))</f>
        <v/>
      </c>
      <c r="H13">
        <f>IF(OR(Designer!$C$6="Threshold Trigger",Designer!$C$6="One-Shot"),G13,H12+(G13-H12)*IF(G13&gt;H12,IFERROR(VLOOKUP(Designer!$C$11,Lookup!$A$2:$B$7,2,FALSE),1),IFERROR(VLOOKUP(Designer!$C$12,Lookup!$A$2:$B$7,2,FALSE),1)))</f>
        <v/>
      </c>
    </row>
    <row r="14">
      <c r="A14" t="n">
        <v>0.6</v>
      </c>
      <c r="B14">
        <f>MIN(1,MAX(0,(A14-0.5)/3))</f>
        <v/>
      </c>
      <c r="C14">
        <f>IF(AND(A14&gt;=1,A14&lt;3.5),1,0)</f>
        <v/>
      </c>
      <c r="D14">
        <f>IF(AND(A14&gt;=1,A14&lt;1.3),1,0)</f>
        <v/>
      </c>
      <c r="E14">
        <f>0.5+0.5*SIN(2*PI()*A14/2)</f>
        <v/>
      </c>
      <c r="F14">
        <f>IFERROR(INDEX(B14:E14,1,MATCH(Designer!$C$17,B$1:E$1,0)),0)</f>
        <v/>
      </c>
      <c r="G14">
        <f>IF(OR(Designer!$C$6="Tracking",Designer!$C$6="Switch"),IFERROR(INDEX(CurveData!$M$2:$M$52,MAX(1,MATCH(MAX(0,MIN(1,F14)),CurveData!$A$2:$A$52,1))),0),IF(AND(A14&gt;=1,A14&lt;=1+Designer!$C$13),IFERROR(INDEX(CurveData!$M$2:$M$52,MAX(1,MATCH(MAX(0,MIN(1,(A14-1)/Designer!$C$13)),CurveData!$A$2:$A$52,1))),0),0))</f>
        <v/>
      </c>
      <c r="H14">
        <f>IF(OR(Designer!$C$6="Threshold Trigger",Designer!$C$6="One-Shot"),G14,H13+(G14-H13)*IF(G14&gt;H13,IFERROR(VLOOKUP(Designer!$C$11,Lookup!$A$2:$B$7,2,FALSE),1),IFERROR(VLOOKUP(Designer!$C$12,Lookup!$A$2:$B$7,2,FALSE),1)))</f>
        <v/>
      </c>
    </row>
    <row r="15">
      <c r="A15" t="n">
        <v>0.65</v>
      </c>
      <c r="B15">
        <f>MIN(1,MAX(0,(A15-0.5)/3))</f>
        <v/>
      </c>
      <c r="C15">
        <f>IF(AND(A15&gt;=1,A15&lt;3.5),1,0)</f>
        <v/>
      </c>
      <c r="D15">
        <f>IF(AND(A15&gt;=1,A15&lt;1.3),1,0)</f>
        <v/>
      </c>
      <c r="E15">
        <f>0.5+0.5*SIN(2*PI()*A15/2)</f>
        <v/>
      </c>
      <c r="F15">
        <f>IFERROR(INDEX(B15:E15,1,MATCH(Designer!$C$17,B$1:E$1,0)),0)</f>
        <v/>
      </c>
      <c r="G15">
        <f>IF(OR(Designer!$C$6="Tracking",Designer!$C$6="Switch"),IFERROR(INDEX(CurveData!$M$2:$M$52,MAX(1,MATCH(MAX(0,MIN(1,F15)),CurveData!$A$2:$A$52,1))),0),IF(AND(A15&gt;=1,A15&lt;=1+Designer!$C$13),IFERROR(INDEX(CurveData!$M$2:$M$52,MAX(1,MATCH(MAX(0,MIN(1,(A15-1)/Designer!$C$13)),CurveData!$A$2:$A$52,1))),0),0))</f>
        <v/>
      </c>
      <c r="H15">
        <f>IF(OR(Designer!$C$6="Threshold Trigger",Designer!$C$6="One-Shot"),G15,H14+(G15-H14)*IF(G15&gt;H14,IFERROR(VLOOKUP(Designer!$C$11,Lookup!$A$2:$B$7,2,FALSE),1),IFERROR(VLOOKUP(Designer!$C$12,Lookup!$A$2:$B$7,2,FALSE),1)))</f>
        <v/>
      </c>
    </row>
    <row r="16">
      <c r="A16" t="n">
        <v>0.7</v>
      </c>
      <c r="B16">
        <f>MIN(1,MAX(0,(A16-0.5)/3))</f>
        <v/>
      </c>
      <c r="C16">
        <f>IF(AND(A16&gt;=1,A16&lt;3.5),1,0)</f>
        <v/>
      </c>
      <c r="D16">
        <f>IF(AND(A16&gt;=1,A16&lt;1.3),1,0)</f>
        <v/>
      </c>
      <c r="E16">
        <f>0.5+0.5*SIN(2*PI()*A16/2)</f>
        <v/>
      </c>
      <c r="F16">
        <f>IFERROR(INDEX(B16:E16,1,MATCH(Designer!$C$17,B$1:E$1,0)),0)</f>
        <v/>
      </c>
      <c r="G16">
        <f>IF(OR(Designer!$C$6="Tracking",Designer!$C$6="Switch"),IFERROR(INDEX(CurveData!$M$2:$M$52,MAX(1,MATCH(MAX(0,MIN(1,F16)),CurveData!$A$2:$A$52,1))),0),IF(AND(A16&gt;=1,A16&lt;=1+Designer!$C$13),IFERROR(INDEX(CurveData!$M$2:$M$52,MAX(1,MATCH(MAX(0,MIN(1,(A16-1)/Designer!$C$13)),CurveData!$A$2:$A$52,1))),0),0))</f>
        <v/>
      </c>
      <c r="H16">
        <f>IF(OR(Designer!$C$6="Threshold Trigger",Designer!$C$6="One-Shot"),G16,H15+(G16-H15)*IF(G16&gt;H15,IFERROR(VLOOKUP(Designer!$C$11,Lookup!$A$2:$B$7,2,FALSE),1),IFERROR(VLOOKUP(Designer!$C$12,Lookup!$A$2:$B$7,2,FALSE),1)))</f>
        <v/>
      </c>
    </row>
    <row r="17">
      <c r="A17" t="n">
        <v>0.75</v>
      </c>
      <c r="B17">
        <f>MIN(1,MAX(0,(A17-0.5)/3))</f>
        <v/>
      </c>
      <c r="C17">
        <f>IF(AND(A17&gt;=1,A17&lt;3.5),1,0)</f>
        <v/>
      </c>
      <c r="D17">
        <f>IF(AND(A17&gt;=1,A17&lt;1.3),1,0)</f>
        <v/>
      </c>
      <c r="E17">
        <f>0.5+0.5*SIN(2*PI()*A17/2)</f>
        <v/>
      </c>
      <c r="F17">
        <f>IFERROR(INDEX(B17:E17,1,MATCH(Designer!$C$17,B$1:E$1,0)),0)</f>
        <v/>
      </c>
      <c r="G17">
        <f>IF(OR(Designer!$C$6="Tracking",Designer!$C$6="Switch"),IFERROR(INDEX(CurveData!$M$2:$M$52,MAX(1,MATCH(MAX(0,MIN(1,F17)),CurveData!$A$2:$A$52,1))),0),IF(AND(A17&gt;=1,A17&lt;=1+Designer!$C$13),IFERROR(INDEX(CurveData!$M$2:$M$52,MAX(1,MATCH(MAX(0,MIN(1,(A17-1)/Designer!$C$13)),CurveData!$A$2:$A$52,1))),0),0))</f>
        <v/>
      </c>
      <c r="H17">
        <f>IF(OR(Designer!$C$6="Threshold Trigger",Designer!$C$6="One-Shot"),G17,H16+(G17-H16)*IF(G17&gt;H16,IFERROR(VLOOKUP(Designer!$C$11,Lookup!$A$2:$B$7,2,FALSE),1),IFERROR(VLOOKUP(Designer!$C$12,Lookup!$A$2:$B$7,2,FALSE),1)))</f>
        <v/>
      </c>
    </row>
    <row r="18">
      <c r="A18" t="n">
        <v>0.8</v>
      </c>
      <c r="B18">
        <f>MIN(1,MAX(0,(A18-0.5)/3))</f>
        <v/>
      </c>
      <c r="C18">
        <f>IF(AND(A18&gt;=1,A18&lt;3.5),1,0)</f>
        <v/>
      </c>
      <c r="D18">
        <f>IF(AND(A18&gt;=1,A18&lt;1.3),1,0)</f>
        <v/>
      </c>
      <c r="E18">
        <f>0.5+0.5*SIN(2*PI()*A18/2)</f>
        <v/>
      </c>
      <c r="F18">
        <f>IFERROR(INDEX(B18:E18,1,MATCH(Designer!$C$17,B$1:E$1,0)),0)</f>
        <v/>
      </c>
      <c r="G18">
        <f>IF(OR(Designer!$C$6="Tracking",Designer!$C$6="Switch"),IFERROR(INDEX(CurveData!$M$2:$M$52,MAX(1,MATCH(MAX(0,MIN(1,F18)),CurveData!$A$2:$A$52,1))),0),IF(AND(A18&gt;=1,A18&lt;=1+Designer!$C$13),IFERROR(INDEX(CurveData!$M$2:$M$52,MAX(1,MATCH(MAX(0,MIN(1,(A18-1)/Designer!$C$13)),CurveData!$A$2:$A$52,1))),0),0))</f>
        <v/>
      </c>
      <c r="H18">
        <f>IF(OR(Designer!$C$6="Threshold Trigger",Designer!$C$6="One-Shot"),G18,H17+(G18-H17)*IF(G18&gt;H17,IFERROR(VLOOKUP(Designer!$C$11,Lookup!$A$2:$B$7,2,FALSE),1),IFERROR(VLOOKUP(Designer!$C$12,Lookup!$A$2:$B$7,2,FALSE),1)))</f>
        <v/>
      </c>
    </row>
    <row r="19">
      <c r="A19" t="n">
        <v>0.85</v>
      </c>
      <c r="B19">
        <f>MIN(1,MAX(0,(A19-0.5)/3))</f>
        <v/>
      </c>
      <c r="C19">
        <f>IF(AND(A19&gt;=1,A19&lt;3.5),1,0)</f>
        <v/>
      </c>
      <c r="D19">
        <f>IF(AND(A19&gt;=1,A19&lt;1.3),1,0)</f>
        <v/>
      </c>
      <c r="E19">
        <f>0.5+0.5*SIN(2*PI()*A19/2)</f>
        <v/>
      </c>
      <c r="F19">
        <f>IFERROR(INDEX(B19:E19,1,MATCH(Designer!$C$17,B$1:E$1,0)),0)</f>
        <v/>
      </c>
      <c r="G19">
        <f>IF(OR(Designer!$C$6="Tracking",Designer!$C$6="Switch"),IFERROR(INDEX(CurveData!$M$2:$M$52,MAX(1,MATCH(MAX(0,MIN(1,F19)),CurveData!$A$2:$A$52,1))),0),IF(AND(A19&gt;=1,A19&lt;=1+Designer!$C$13),IFERROR(INDEX(CurveData!$M$2:$M$52,MAX(1,MATCH(MAX(0,MIN(1,(A19-1)/Designer!$C$13)),CurveData!$A$2:$A$52,1))),0),0))</f>
        <v/>
      </c>
      <c r="H19">
        <f>IF(OR(Designer!$C$6="Threshold Trigger",Designer!$C$6="One-Shot"),G19,H18+(G19-H18)*IF(G19&gt;H18,IFERROR(VLOOKUP(Designer!$C$11,Lookup!$A$2:$B$7,2,FALSE),1),IFERROR(VLOOKUP(Designer!$C$12,Lookup!$A$2:$B$7,2,FALSE),1)))</f>
        <v/>
      </c>
    </row>
    <row r="20">
      <c r="A20" t="n">
        <v>0.9</v>
      </c>
      <c r="B20">
        <f>MIN(1,MAX(0,(A20-0.5)/3))</f>
        <v/>
      </c>
      <c r="C20">
        <f>IF(AND(A20&gt;=1,A20&lt;3.5),1,0)</f>
        <v/>
      </c>
      <c r="D20">
        <f>IF(AND(A20&gt;=1,A20&lt;1.3),1,0)</f>
        <v/>
      </c>
      <c r="E20">
        <f>0.5+0.5*SIN(2*PI()*A20/2)</f>
        <v/>
      </c>
      <c r="F20">
        <f>IFERROR(INDEX(B20:E20,1,MATCH(Designer!$C$17,B$1:E$1,0)),0)</f>
        <v/>
      </c>
      <c r="G20">
        <f>IF(OR(Designer!$C$6="Tracking",Designer!$C$6="Switch"),IFERROR(INDEX(CurveData!$M$2:$M$52,MAX(1,MATCH(MAX(0,MIN(1,F20)),CurveData!$A$2:$A$52,1))),0),IF(AND(A20&gt;=1,A20&lt;=1+Designer!$C$13),IFERROR(INDEX(CurveData!$M$2:$M$52,MAX(1,MATCH(MAX(0,MIN(1,(A20-1)/Designer!$C$13)),CurveData!$A$2:$A$52,1))),0),0))</f>
        <v/>
      </c>
      <c r="H20">
        <f>IF(OR(Designer!$C$6="Threshold Trigger",Designer!$C$6="One-Shot"),G20,H19+(G20-H19)*IF(G20&gt;H19,IFERROR(VLOOKUP(Designer!$C$11,Lookup!$A$2:$B$7,2,FALSE),1),IFERROR(VLOOKUP(Designer!$C$12,Lookup!$A$2:$B$7,2,FALSE),1)))</f>
        <v/>
      </c>
    </row>
    <row r="21">
      <c r="A21" t="n">
        <v>0.95</v>
      </c>
      <c r="B21">
        <f>MIN(1,MAX(0,(A21-0.5)/3))</f>
        <v/>
      </c>
      <c r="C21">
        <f>IF(AND(A21&gt;=1,A21&lt;3.5),1,0)</f>
        <v/>
      </c>
      <c r="D21">
        <f>IF(AND(A21&gt;=1,A21&lt;1.3),1,0)</f>
        <v/>
      </c>
      <c r="E21">
        <f>0.5+0.5*SIN(2*PI()*A21/2)</f>
        <v/>
      </c>
      <c r="F21">
        <f>IFERROR(INDEX(B21:E21,1,MATCH(Designer!$C$17,B$1:E$1,0)),0)</f>
        <v/>
      </c>
      <c r="G21">
        <f>IF(OR(Designer!$C$6="Tracking",Designer!$C$6="Switch"),IFERROR(INDEX(CurveData!$M$2:$M$52,MAX(1,MATCH(MAX(0,MIN(1,F21)),CurveData!$A$2:$A$52,1))),0),IF(AND(A21&gt;=1,A21&lt;=1+Designer!$C$13),IFERROR(INDEX(CurveData!$M$2:$M$52,MAX(1,MATCH(MAX(0,MIN(1,(A21-1)/Designer!$C$13)),CurveData!$A$2:$A$52,1))),0),0))</f>
        <v/>
      </c>
      <c r="H21">
        <f>IF(OR(Designer!$C$6="Threshold Trigger",Designer!$C$6="One-Shot"),G21,H20+(G21-H20)*IF(G21&gt;H20,IFERROR(VLOOKUP(Designer!$C$11,Lookup!$A$2:$B$7,2,FALSE),1),IFERROR(VLOOKUP(Designer!$C$12,Lookup!$A$2:$B$7,2,FALSE),1)))</f>
        <v/>
      </c>
    </row>
    <row r="22">
      <c r="A22" t="n">
        <v>1</v>
      </c>
      <c r="B22">
        <f>MIN(1,MAX(0,(A22-0.5)/3))</f>
        <v/>
      </c>
      <c r="C22">
        <f>IF(AND(A22&gt;=1,A22&lt;3.5),1,0)</f>
        <v/>
      </c>
      <c r="D22">
        <f>IF(AND(A22&gt;=1,A22&lt;1.3),1,0)</f>
        <v/>
      </c>
      <c r="E22">
        <f>0.5+0.5*SIN(2*PI()*A22/2)</f>
        <v/>
      </c>
      <c r="F22">
        <f>IFERROR(INDEX(B22:E22,1,MATCH(Designer!$C$17,B$1:E$1,0)),0)</f>
        <v/>
      </c>
      <c r="G22">
        <f>IF(OR(Designer!$C$6="Tracking",Designer!$C$6="Switch"),IFERROR(INDEX(CurveData!$M$2:$M$52,MAX(1,MATCH(MAX(0,MIN(1,F22)),CurveData!$A$2:$A$52,1))),0),IF(AND(A22&gt;=1,A22&lt;=1+Designer!$C$13),IFERROR(INDEX(CurveData!$M$2:$M$52,MAX(1,MATCH(MAX(0,MIN(1,(A22-1)/Designer!$C$13)),CurveData!$A$2:$A$52,1))),0),0))</f>
        <v/>
      </c>
      <c r="H22">
        <f>IF(OR(Designer!$C$6="Threshold Trigger",Designer!$C$6="One-Shot"),G22,H21+(G22-H21)*IF(G22&gt;H21,IFERROR(VLOOKUP(Designer!$C$11,Lookup!$A$2:$B$7,2,FALSE),1),IFERROR(VLOOKUP(Designer!$C$12,Lookup!$A$2:$B$7,2,FALSE),1)))</f>
        <v/>
      </c>
    </row>
    <row r="23">
      <c r="A23" t="n">
        <v>1.05</v>
      </c>
      <c r="B23">
        <f>MIN(1,MAX(0,(A23-0.5)/3))</f>
        <v/>
      </c>
      <c r="C23">
        <f>IF(AND(A23&gt;=1,A23&lt;3.5),1,0)</f>
        <v/>
      </c>
      <c r="D23">
        <f>IF(AND(A23&gt;=1,A23&lt;1.3),1,0)</f>
        <v/>
      </c>
      <c r="E23">
        <f>0.5+0.5*SIN(2*PI()*A23/2)</f>
        <v/>
      </c>
      <c r="F23">
        <f>IFERROR(INDEX(B23:E23,1,MATCH(Designer!$C$17,B$1:E$1,0)),0)</f>
        <v/>
      </c>
      <c r="G23">
        <f>IF(OR(Designer!$C$6="Tracking",Designer!$C$6="Switch"),IFERROR(INDEX(CurveData!$M$2:$M$52,MAX(1,MATCH(MAX(0,MIN(1,F23)),CurveData!$A$2:$A$52,1))),0),IF(AND(A23&gt;=1,A23&lt;=1+Designer!$C$13),IFERROR(INDEX(CurveData!$M$2:$M$52,MAX(1,MATCH(MAX(0,MIN(1,(A23-1)/Designer!$C$13)),CurveData!$A$2:$A$52,1))),0),0))</f>
        <v/>
      </c>
      <c r="H23">
        <f>IF(OR(Designer!$C$6="Threshold Trigger",Designer!$C$6="One-Shot"),G23,H22+(G23-H22)*IF(G23&gt;H22,IFERROR(VLOOKUP(Designer!$C$11,Lookup!$A$2:$B$7,2,FALSE),1),IFERROR(VLOOKUP(Designer!$C$12,Lookup!$A$2:$B$7,2,FALSE),1)))</f>
        <v/>
      </c>
    </row>
    <row r="24">
      <c r="A24" t="n">
        <v>1.1</v>
      </c>
      <c r="B24">
        <f>MIN(1,MAX(0,(A24-0.5)/3))</f>
        <v/>
      </c>
      <c r="C24">
        <f>IF(AND(A24&gt;=1,A24&lt;3.5),1,0)</f>
        <v/>
      </c>
      <c r="D24">
        <f>IF(AND(A24&gt;=1,A24&lt;1.3),1,0)</f>
        <v/>
      </c>
      <c r="E24">
        <f>0.5+0.5*SIN(2*PI()*A24/2)</f>
        <v/>
      </c>
      <c r="F24">
        <f>IFERROR(INDEX(B24:E24,1,MATCH(Designer!$C$17,B$1:E$1,0)),0)</f>
        <v/>
      </c>
      <c r="G24">
        <f>IF(OR(Designer!$C$6="Tracking",Designer!$C$6="Switch"),IFERROR(INDEX(CurveData!$M$2:$M$52,MAX(1,MATCH(MAX(0,MIN(1,F24)),CurveData!$A$2:$A$52,1))),0),IF(AND(A24&gt;=1,A24&lt;=1+Designer!$C$13),IFERROR(INDEX(CurveData!$M$2:$M$52,MAX(1,MATCH(MAX(0,MIN(1,(A24-1)/Designer!$C$13)),CurveData!$A$2:$A$52,1))),0),0))</f>
        <v/>
      </c>
      <c r="H24">
        <f>IF(OR(Designer!$C$6="Threshold Trigger",Designer!$C$6="One-Shot"),G24,H23+(G24-H23)*IF(G24&gt;H23,IFERROR(VLOOKUP(Designer!$C$11,Lookup!$A$2:$B$7,2,FALSE),1),IFERROR(VLOOKUP(Designer!$C$12,Lookup!$A$2:$B$7,2,FALSE),1)))</f>
        <v/>
      </c>
    </row>
    <row r="25">
      <c r="A25" t="n">
        <v>1.15</v>
      </c>
      <c r="B25">
        <f>MIN(1,MAX(0,(A25-0.5)/3))</f>
        <v/>
      </c>
      <c r="C25">
        <f>IF(AND(A25&gt;=1,A25&lt;3.5),1,0)</f>
        <v/>
      </c>
      <c r="D25">
        <f>IF(AND(A25&gt;=1,A25&lt;1.3),1,0)</f>
        <v/>
      </c>
      <c r="E25">
        <f>0.5+0.5*SIN(2*PI()*A25/2)</f>
        <v/>
      </c>
      <c r="F25">
        <f>IFERROR(INDEX(B25:E25,1,MATCH(Designer!$C$17,B$1:E$1,0)),0)</f>
        <v/>
      </c>
      <c r="G25">
        <f>IF(OR(Designer!$C$6="Tracking",Designer!$C$6="Switch"),IFERROR(INDEX(CurveData!$M$2:$M$52,MAX(1,MATCH(MAX(0,MIN(1,F25)),CurveData!$A$2:$A$52,1))),0),IF(AND(A25&gt;=1,A25&lt;=1+Designer!$C$13),IFERROR(INDEX(CurveData!$M$2:$M$52,MAX(1,MATCH(MAX(0,MIN(1,(A25-1)/Designer!$C$13)),CurveData!$A$2:$A$52,1))),0),0))</f>
        <v/>
      </c>
      <c r="H25">
        <f>IF(OR(Designer!$C$6="Threshold Trigger",Designer!$C$6="One-Shot"),G25,H24+(G25-H24)*IF(G25&gt;H24,IFERROR(VLOOKUP(Designer!$C$11,Lookup!$A$2:$B$7,2,FALSE),1),IFERROR(VLOOKUP(Designer!$C$12,Lookup!$A$2:$B$7,2,FALSE),1)))</f>
        <v/>
      </c>
    </row>
    <row r="26">
      <c r="A26" t="n">
        <v>1.2</v>
      </c>
      <c r="B26">
        <f>MIN(1,MAX(0,(A26-0.5)/3))</f>
        <v/>
      </c>
      <c r="C26">
        <f>IF(AND(A26&gt;=1,A26&lt;3.5),1,0)</f>
        <v/>
      </c>
      <c r="D26">
        <f>IF(AND(A26&gt;=1,A26&lt;1.3),1,0)</f>
        <v/>
      </c>
      <c r="E26">
        <f>0.5+0.5*SIN(2*PI()*A26/2)</f>
        <v/>
      </c>
      <c r="F26">
        <f>IFERROR(INDEX(B26:E26,1,MATCH(Designer!$C$17,B$1:E$1,0)),0)</f>
        <v/>
      </c>
      <c r="G26">
        <f>IF(OR(Designer!$C$6="Tracking",Designer!$C$6="Switch"),IFERROR(INDEX(CurveData!$M$2:$M$52,MAX(1,MATCH(MAX(0,MIN(1,F26)),CurveData!$A$2:$A$52,1))),0),IF(AND(A26&gt;=1,A26&lt;=1+Designer!$C$13),IFERROR(INDEX(CurveData!$M$2:$M$52,MAX(1,MATCH(MAX(0,MIN(1,(A26-1)/Designer!$C$13)),CurveData!$A$2:$A$52,1))),0),0))</f>
        <v/>
      </c>
      <c r="H26">
        <f>IF(OR(Designer!$C$6="Threshold Trigger",Designer!$C$6="One-Shot"),G26,H25+(G26-H25)*IF(G26&gt;H25,IFERROR(VLOOKUP(Designer!$C$11,Lookup!$A$2:$B$7,2,FALSE),1),IFERROR(VLOOKUP(Designer!$C$12,Lookup!$A$2:$B$7,2,FALSE),1)))</f>
        <v/>
      </c>
    </row>
    <row r="27">
      <c r="A27" t="n">
        <v>1.25</v>
      </c>
      <c r="B27">
        <f>MIN(1,MAX(0,(A27-0.5)/3))</f>
        <v/>
      </c>
      <c r="C27">
        <f>IF(AND(A27&gt;=1,A27&lt;3.5),1,0)</f>
        <v/>
      </c>
      <c r="D27">
        <f>IF(AND(A27&gt;=1,A27&lt;1.3),1,0)</f>
        <v/>
      </c>
      <c r="E27">
        <f>0.5+0.5*SIN(2*PI()*A27/2)</f>
        <v/>
      </c>
      <c r="F27">
        <f>IFERROR(INDEX(B27:E27,1,MATCH(Designer!$C$17,B$1:E$1,0)),0)</f>
        <v/>
      </c>
      <c r="G27">
        <f>IF(OR(Designer!$C$6="Tracking",Designer!$C$6="Switch"),IFERROR(INDEX(CurveData!$M$2:$M$52,MAX(1,MATCH(MAX(0,MIN(1,F27)),CurveData!$A$2:$A$52,1))),0),IF(AND(A27&gt;=1,A27&lt;=1+Designer!$C$13),IFERROR(INDEX(CurveData!$M$2:$M$52,MAX(1,MATCH(MAX(0,MIN(1,(A27-1)/Designer!$C$13)),CurveData!$A$2:$A$52,1))),0),0))</f>
        <v/>
      </c>
      <c r="H27">
        <f>IF(OR(Designer!$C$6="Threshold Trigger",Designer!$C$6="One-Shot"),G27,H26+(G27-H26)*IF(G27&gt;H26,IFERROR(VLOOKUP(Designer!$C$11,Lookup!$A$2:$B$7,2,FALSE),1),IFERROR(VLOOKUP(Designer!$C$12,Lookup!$A$2:$B$7,2,FALSE),1)))</f>
        <v/>
      </c>
    </row>
    <row r="28">
      <c r="A28" t="n">
        <v>1.3</v>
      </c>
      <c r="B28">
        <f>MIN(1,MAX(0,(A28-0.5)/3))</f>
        <v/>
      </c>
      <c r="C28">
        <f>IF(AND(A28&gt;=1,A28&lt;3.5),1,0)</f>
        <v/>
      </c>
      <c r="D28">
        <f>IF(AND(A28&gt;=1,A28&lt;1.3),1,0)</f>
        <v/>
      </c>
      <c r="E28">
        <f>0.5+0.5*SIN(2*PI()*A28/2)</f>
        <v/>
      </c>
      <c r="F28">
        <f>IFERROR(INDEX(B28:E28,1,MATCH(Designer!$C$17,B$1:E$1,0)),0)</f>
        <v/>
      </c>
      <c r="G28">
        <f>IF(OR(Designer!$C$6="Tracking",Designer!$C$6="Switch"),IFERROR(INDEX(CurveData!$M$2:$M$52,MAX(1,MATCH(MAX(0,MIN(1,F28)),CurveData!$A$2:$A$52,1))),0),IF(AND(A28&gt;=1,A28&lt;=1+Designer!$C$13),IFERROR(INDEX(CurveData!$M$2:$M$52,MAX(1,MATCH(MAX(0,MIN(1,(A28-1)/Designer!$C$13)),CurveData!$A$2:$A$52,1))),0),0))</f>
        <v/>
      </c>
      <c r="H28">
        <f>IF(OR(Designer!$C$6="Threshold Trigger",Designer!$C$6="One-Shot"),G28,H27+(G28-H27)*IF(G28&gt;H27,IFERROR(VLOOKUP(Designer!$C$11,Lookup!$A$2:$B$7,2,FALSE),1),IFERROR(VLOOKUP(Designer!$C$12,Lookup!$A$2:$B$7,2,FALSE),1)))</f>
        <v/>
      </c>
    </row>
    <row r="29">
      <c r="A29" t="n">
        <v>1.35</v>
      </c>
      <c r="B29">
        <f>MIN(1,MAX(0,(A29-0.5)/3))</f>
        <v/>
      </c>
      <c r="C29">
        <f>IF(AND(A29&gt;=1,A29&lt;3.5),1,0)</f>
        <v/>
      </c>
      <c r="D29">
        <f>IF(AND(A29&gt;=1,A29&lt;1.3),1,0)</f>
        <v/>
      </c>
      <c r="E29">
        <f>0.5+0.5*SIN(2*PI()*A29/2)</f>
        <v/>
      </c>
      <c r="F29">
        <f>IFERROR(INDEX(B29:E29,1,MATCH(Designer!$C$17,B$1:E$1,0)),0)</f>
        <v/>
      </c>
      <c r="G29">
        <f>IF(OR(Designer!$C$6="Tracking",Designer!$C$6="Switch"),IFERROR(INDEX(CurveData!$M$2:$M$52,MAX(1,MATCH(MAX(0,MIN(1,F29)),CurveData!$A$2:$A$52,1))),0),IF(AND(A29&gt;=1,A29&lt;=1+Designer!$C$13),IFERROR(INDEX(CurveData!$M$2:$M$52,MAX(1,MATCH(MAX(0,MIN(1,(A29-1)/Designer!$C$13)),CurveData!$A$2:$A$52,1))),0),0))</f>
        <v/>
      </c>
      <c r="H29">
        <f>IF(OR(Designer!$C$6="Threshold Trigger",Designer!$C$6="One-Shot"),G29,H28+(G29-H28)*IF(G29&gt;H28,IFERROR(VLOOKUP(Designer!$C$11,Lookup!$A$2:$B$7,2,FALSE),1),IFERROR(VLOOKUP(Designer!$C$12,Lookup!$A$2:$B$7,2,FALSE),1)))</f>
        <v/>
      </c>
    </row>
    <row r="30">
      <c r="A30" t="n">
        <v>1.4</v>
      </c>
      <c r="B30">
        <f>MIN(1,MAX(0,(A30-0.5)/3))</f>
        <v/>
      </c>
      <c r="C30">
        <f>IF(AND(A30&gt;=1,A30&lt;3.5),1,0)</f>
        <v/>
      </c>
      <c r="D30">
        <f>IF(AND(A30&gt;=1,A30&lt;1.3),1,0)</f>
        <v/>
      </c>
      <c r="E30">
        <f>0.5+0.5*SIN(2*PI()*A30/2)</f>
        <v/>
      </c>
      <c r="F30">
        <f>IFERROR(INDEX(B30:E30,1,MATCH(Designer!$C$17,B$1:E$1,0)),0)</f>
        <v/>
      </c>
      <c r="G30">
        <f>IF(OR(Designer!$C$6="Tracking",Designer!$C$6="Switch"),IFERROR(INDEX(CurveData!$M$2:$M$52,MAX(1,MATCH(MAX(0,MIN(1,F30)),CurveData!$A$2:$A$52,1))),0),IF(AND(A30&gt;=1,A30&lt;=1+Designer!$C$13),IFERROR(INDEX(CurveData!$M$2:$M$52,MAX(1,MATCH(MAX(0,MIN(1,(A30-1)/Designer!$C$13)),CurveData!$A$2:$A$52,1))),0),0))</f>
        <v/>
      </c>
      <c r="H30">
        <f>IF(OR(Designer!$C$6="Threshold Trigger",Designer!$C$6="One-Shot"),G30,H29+(G30-H29)*IF(G30&gt;H29,IFERROR(VLOOKUP(Designer!$C$11,Lookup!$A$2:$B$7,2,FALSE),1),IFERROR(VLOOKUP(Designer!$C$12,Lookup!$A$2:$B$7,2,FALSE),1)))</f>
        <v/>
      </c>
    </row>
    <row r="31">
      <c r="A31" t="n">
        <v>1.45</v>
      </c>
      <c r="B31">
        <f>MIN(1,MAX(0,(A31-0.5)/3))</f>
        <v/>
      </c>
      <c r="C31">
        <f>IF(AND(A31&gt;=1,A31&lt;3.5),1,0)</f>
        <v/>
      </c>
      <c r="D31">
        <f>IF(AND(A31&gt;=1,A31&lt;1.3),1,0)</f>
        <v/>
      </c>
      <c r="E31">
        <f>0.5+0.5*SIN(2*PI()*A31/2)</f>
        <v/>
      </c>
      <c r="F31">
        <f>IFERROR(INDEX(B31:E31,1,MATCH(Designer!$C$17,B$1:E$1,0)),0)</f>
        <v/>
      </c>
      <c r="G31">
        <f>IF(OR(Designer!$C$6="Tracking",Designer!$C$6="Switch"),IFERROR(INDEX(CurveData!$M$2:$M$52,MAX(1,MATCH(MAX(0,MIN(1,F31)),CurveData!$A$2:$A$52,1))),0),IF(AND(A31&gt;=1,A31&lt;=1+Designer!$C$13),IFERROR(INDEX(CurveData!$M$2:$M$52,MAX(1,MATCH(MAX(0,MIN(1,(A31-1)/Designer!$C$13)),CurveData!$A$2:$A$52,1))),0),0))</f>
        <v/>
      </c>
      <c r="H31">
        <f>IF(OR(Designer!$C$6="Threshold Trigger",Designer!$C$6="One-Shot"),G31,H30+(G31-H30)*IF(G31&gt;H30,IFERROR(VLOOKUP(Designer!$C$11,Lookup!$A$2:$B$7,2,FALSE),1),IFERROR(VLOOKUP(Designer!$C$12,Lookup!$A$2:$B$7,2,FALSE),1)))</f>
        <v/>
      </c>
    </row>
    <row r="32">
      <c r="A32" t="n">
        <v>1.5</v>
      </c>
      <c r="B32">
        <f>MIN(1,MAX(0,(A32-0.5)/3))</f>
        <v/>
      </c>
      <c r="C32">
        <f>IF(AND(A32&gt;=1,A32&lt;3.5),1,0)</f>
        <v/>
      </c>
      <c r="D32">
        <f>IF(AND(A32&gt;=1,A32&lt;1.3),1,0)</f>
        <v/>
      </c>
      <c r="E32">
        <f>0.5+0.5*SIN(2*PI()*A32/2)</f>
        <v/>
      </c>
      <c r="F32">
        <f>IFERROR(INDEX(B32:E32,1,MATCH(Designer!$C$17,B$1:E$1,0)),0)</f>
        <v/>
      </c>
      <c r="G32">
        <f>IF(OR(Designer!$C$6="Tracking",Designer!$C$6="Switch"),IFERROR(INDEX(CurveData!$M$2:$M$52,MAX(1,MATCH(MAX(0,MIN(1,F32)),CurveData!$A$2:$A$52,1))),0),IF(AND(A32&gt;=1,A32&lt;=1+Designer!$C$13),IFERROR(INDEX(CurveData!$M$2:$M$52,MAX(1,MATCH(MAX(0,MIN(1,(A32-1)/Designer!$C$13)),CurveData!$A$2:$A$52,1))),0),0))</f>
        <v/>
      </c>
      <c r="H32">
        <f>IF(OR(Designer!$C$6="Threshold Trigger",Designer!$C$6="One-Shot"),G32,H31+(G32-H31)*IF(G32&gt;H31,IFERROR(VLOOKUP(Designer!$C$11,Lookup!$A$2:$B$7,2,FALSE),1),IFERROR(VLOOKUP(Designer!$C$12,Lookup!$A$2:$B$7,2,FALSE),1)))</f>
        <v/>
      </c>
    </row>
    <row r="33">
      <c r="A33" t="n">
        <v>1.55</v>
      </c>
      <c r="B33">
        <f>MIN(1,MAX(0,(A33-0.5)/3))</f>
        <v/>
      </c>
      <c r="C33">
        <f>IF(AND(A33&gt;=1,A33&lt;3.5),1,0)</f>
        <v/>
      </c>
      <c r="D33">
        <f>IF(AND(A33&gt;=1,A33&lt;1.3),1,0)</f>
        <v/>
      </c>
      <c r="E33">
        <f>0.5+0.5*SIN(2*PI()*A33/2)</f>
        <v/>
      </c>
      <c r="F33">
        <f>IFERROR(INDEX(B33:E33,1,MATCH(Designer!$C$17,B$1:E$1,0)),0)</f>
        <v/>
      </c>
      <c r="G33">
        <f>IF(OR(Designer!$C$6="Tracking",Designer!$C$6="Switch"),IFERROR(INDEX(CurveData!$M$2:$M$52,MAX(1,MATCH(MAX(0,MIN(1,F33)),CurveData!$A$2:$A$52,1))),0),IF(AND(A33&gt;=1,A33&lt;=1+Designer!$C$13),IFERROR(INDEX(CurveData!$M$2:$M$52,MAX(1,MATCH(MAX(0,MIN(1,(A33-1)/Designer!$C$13)),CurveData!$A$2:$A$52,1))),0),0))</f>
        <v/>
      </c>
      <c r="H33">
        <f>IF(OR(Designer!$C$6="Threshold Trigger",Designer!$C$6="One-Shot"),G33,H32+(G33-H32)*IF(G33&gt;H32,IFERROR(VLOOKUP(Designer!$C$11,Lookup!$A$2:$B$7,2,FALSE),1),IFERROR(VLOOKUP(Designer!$C$12,Lookup!$A$2:$B$7,2,FALSE),1)))</f>
        <v/>
      </c>
    </row>
    <row r="34">
      <c r="A34" t="n">
        <v>1.6</v>
      </c>
      <c r="B34">
        <f>MIN(1,MAX(0,(A34-0.5)/3))</f>
        <v/>
      </c>
      <c r="C34">
        <f>IF(AND(A34&gt;=1,A34&lt;3.5),1,0)</f>
        <v/>
      </c>
      <c r="D34">
        <f>IF(AND(A34&gt;=1,A34&lt;1.3),1,0)</f>
        <v/>
      </c>
      <c r="E34">
        <f>0.5+0.5*SIN(2*PI()*A34/2)</f>
        <v/>
      </c>
      <c r="F34">
        <f>IFERROR(INDEX(B34:E34,1,MATCH(Designer!$C$17,B$1:E$1,0)),0)</f>
        <v/>
      </c>
      <c r="G34">
        <f>IF(OR(Designer!$C$6="Tracking",Designer!$C$6="Switch"),IFERROR(INDEX(CurveData!$M$2:$M$52,MAX(1,MATCH(MAX(0,MIN(1,F34)),CurveData!$A$2:$A$52,1))),0),IF(AND(A34&gt;=1,A34&lt;=1+Designer!$C$13),IFERROR(INDEX(CurveData!$M$2:$M$52,MAX(1,MATCH(MAX(0,MIN(1,(A34-1)/Designer!$C$13)),CurveData!$A$2:$A$52,1))),0),0))</f>
        <v/>
      </c>
      <c r="H34">
        <f>IF(OR(Designer!$C$6="Threshold Trigger",Designer!$C$6="One-Shot"),G34,H33+(G34-H33)*IF(G34&gt;H33,IFERROR(VLOOKUP(Designer!$C$11,Lookup!$A$2:$B$7,2,FALSE),1),IFERROR(VLOOKUP(Designer!$C$12,Lookup!$A$2:$B$7,2,FALSE),1)))</f>
        <v/>
      </c>
    </row>
    <row r="35">
      <c r="A35" t="n">
        <v>1.65</v>
      </c>
      <c r="B35">
        <f>MIN(1,MAX(0,(A35-0.5)/3))</f>
        <v/>
      </c>
      <c r="C35">
        <f>IF(AND(A35&gt;=1,A35&lt;3.5),1,0)</f>
        <v/>
      </c>
      <c r="D35">
        <f>IF(AND(A35&gt;=1,A35&lt;1.3),1,0)</f>
        <v/>
      </c>
      <c r="E35">
        <f>0.5+0.5*SIN(2*PI()*A35/2)</f>
        <v/>
      </c>
      <c r="F35">
        <f>IFERROR(INDEX(B35:E35,1,MATCH(Designer!$C$17,B$1:E$1,0)),0)</f>
        <v/>
      </c>
      <c r="G35">
        <f>IF(OR(Designer!$C$6="Tracking",Designer!$C$6="Switch"),IFERROR(INDEX(CurveData!$M$2:$M$52,MAX(1,MATCH(MAX(0,MIN(1,F35)),CurveData!$A$2:$A$52,1))),0),IF(AND(A35&gt;=1,A35&lt;=1+Designer!$C$13),IFERROR(INDEX(CurveData!$M$2:$M$52,MAX(1,MATCH(MAX(0,MIN(1,(A35-1)/Designer!$C$13)),CurveData!$A$2:$A$52,1))),0),0))</f>
        <v/>
      </c>
      <c r="H35">
        <f>IF(OR(Designer!$C$6="Threshold Trigger",Designer!$C$6="One-Shot"),G35,H34+(G35-H34)*IF(G35&gt;H34,IFERROR(VLOOKUP(Designer!$C$11,Lookup!$A$2:$B$7,2,FALSE),1),IFERROR(VLOOKUP(Designer!$C$12,Lookup!$A$2:$B$7,2,FALSE),1)))</f>
        <v/>
      </c>
    </row>
    <row r="36">
      <c r="A36" t="n">
        <v>1.7</v>
      </c>
      <c r="B36">
        <f>MIN(1,MAX(0,(A36-0.5)/3))</f>
        <v/>
      </c>
      <c r="C36">
        <f>IF(AND(A36&gt;=1,A36&lt;3.5),1,0)</f>
        <v/>
      </c>
      <c r="D36">
        <f>IF(AND(A36&gt;=1,A36&lt;1.3),1,0)</f>
        <v/>
      </c>
      <c r="E36">
        <f>0.5+0.5*SIN(2*PI()*A36/2)</f>
        <v/>
      </c>
      <c r="F36">
        <f>IFERROR(INDEX(B36:E36,1,MATCH(Designer!$C$17,B$1:E$1,0)),0)</f>
        <v/>
      </c>
      <c r="G36">
        <f>IF(OR(Designer!$C$6="Tracking",Designer!$C$6="Switch"),IFERROR(INDEX(CurveData!$M$2:$M$52,MAX(1,MATCH(MAX(0,MIN(1,F36)),CurveData!$A$2:$A$52,1))),0),IF(AND(A36&gt;=1,A36&lt;=1+Designer!$C$13),IFERROR(INDEX(CurveData!$M$2:$M$52,MAX(1,MATCH(MAX(0,MIN(1,(A36-1)/Designer!$C$13)),CurveData!$A$2:$A$52,1))),0),0))</f>
        <v/>
      </c>
      <c r="H36">
        <f>IF(OR(Designer!$C$6="Threshold Trigger",Designer!$C$6="One-Shot"),G36,H35+(G36-H35)*IF(G36&gt;H35,IFERROR(VLOOKUP(Designer!$C$11,Lookup!$A$2:$B$7,2,FALSE),1),IFERROR(VLOOKUP(Designer!$C$12,Lookup!$A$2:$B$7,2,FALSE),1)))</f>
        <v/>
      </c>
    </row>
    <row r="37">
      <c r="A37" t="n">
        <v>1.75</v>
      </c>
      <c r="B37">
        <f>MIN(1,MAX(0,(A37-0.5)/3))</f>
        <v/>
      </c>
      <c r="C37">
        <f>IF(AND(A37&gt;=1,A37&lt;3.5),1,0)</f>
        <v/>
      </c>
      <c r="D37">
        <f>IF(AND(A37&gt;=1,A37&lt;1.3),1,0)</f>
        <v/>
      </c>
      <c r="E37">
        <f>0.5+0.5*SIN(2*PI()*A37/2)</f>
        <v/>
      </c>
      <c r="F37">
        <f>IFERROR(INDEX(B37:E37,1,MATCH(Designer!$C$17,B$1:E$1,0)),0)</f>
        <v/>
      </c>
      <c r="G37">
        <f>IF(OR(Designer!$C$6="Tracking",Designer!$C$6="Switch"),IFERROR(INDEX(CurveData!$M$2:$M$52,MAX(1,MATCH(MAX(0,MIN(1,F37)),CurveData!$A$2:$A$52,1))),0),IF(AND(A37&gt;=1,A37&lt;=1+Designer!$C$13),IFERROR(INDEX(CurveData!$M$2:$M$52,MAX(1,MATCH(MAX(0,MIN(1,(A37-1)/Designer!$C$13)),CurveData!$A$2:$A$52,1))),0),0))</f>
        <v/>
      </c>
      <c r="H37">
        <f>IF(OR(Designer!$C$6="Threshold Trigger",Designer!$C$6="One-Shot"),G37,H36+(G37-H36)*IF(G37&gt;H36,IFERROR(VLOOKUP(Designer!$C$11,Lookup!$A$2:$B$7,2,FALSE),1),IFERROR(VLOOKUP(Designer!$C$12,Lookup!$A$2:$B$7,2,FALSE),1)))</f>
        <v/>
      </c>
    </row>
    <row r="38">
      <c r="A38" t="n">
        <v>1.8</v>
      </c>
      <c r="B38">
        <f>MIN(1,MAX(0,(A38-0.5)/3))</f>
        <v/>
      </c>
      <c r="C38">
        <f>IF(AND(A38&gt;=1,A38&lt;3.5),1,0)</f>
        <v/>
      </c>
      <c r="D38">
        <f>IF(AND(A38&gt;=1,A38&lt;1.3),1,0)</f>
        <v/>
      </c>
      <c r="E38">
        <f>0.5+0.5*SIN(2*PI()*A38/2)</f>
        <v/>
      </c>
      <c r="F38">
        <f>IFERROR(INDEX(B38:E38,1,MATCH(Designer!$C$17,B$1:E$1,0)),0)</f>
        <v/>
      </c>
      <c r="G38">
        <f>IF(OR(Designer!$C$6="Tracking",Designer!$C$6="Switch"),IFERROR(INDEX(CurveData!$M$2:$M$52,MAX(1,MATCH(MAX(0,MIN(1,F38)),CurveData!$A$2:$A$52,1))),0),IF(AND(A38&gt;=1,A38&lt;=1+Designer!$C$13),IFERROR(INDEX(CurveData!$M$2:$M$52,MAX(1,MATCH(MAX(0,MIN(1,(A38-1)/Designer!$C$13)),CurveData!$A$2:$A$52,1))),0),0))</f>
        <v/>
      </c>
      <c r="H38">
        <f>IF(OR(Designer!$C$6="Threshold Trigger",Designer!$C$6="One-Shot"),G38,H37+(G38-H37)*IF(G38&gt;H37,IFERROR(VLOOKUP(Designer!$C$11,Lookup!$A$2:$B$7,2,FALSE),1),IFERROR(VLOOKUP(Designer!$C$12,Lookup!$A$2:$B$7,2,FALSE),1)))</f>
        <v/>
      </c>
    </row>
    <row r="39">
      <c r="A39" t="n">
        <v>1.85</v>
      </c>
      <c r="B39">
        <f>MIN(1,MAX(0,(A39-0.5)/3))</f>
        <v/>
      </c>
      <c r="C39">
        <f>IF(AND(A39&gt;=1,A39&lt;3.5),1,0)</f>
        <v/>
      </c>
      <c r="D39">
        <f>IF(AND(A39&gt;=1,A39&lt;1.3),1,0)</f>
        <v/>
      </c>
      <c r="E39">
        <f>0.5+0.5*SIN(2*PI()*A39/2)</f>
        <v/>
      </c>
      <c r="F39">
        <f>IFERROR(INDEX(B39:E39,1,MATCH(Designer!$C$17,B$1:E$1,0)),0)</f>
        <v/>
      </c>
      <c r="G39">
        <f>IF(OR(Designer!$C$6="Tracking",Designer!$C$6="Switch"),IFERROR(INDEX(CurveData!$M$2:$M$52,MAX(1,MATCH(MAX(0,MIN(1,F39)),CurveData!$A$2:$A$52,1))),0),IF(AND(A39&gt;=1,A39&lt;=1+Designer!$C$13),IFERROR(INDEX(CurveData!$M$2:$M$52,MAX(1,MATCH(MAX(0,MIN(1,(A39-1)/Designer!$C$13)),CurveData!$A$2:$A$52,1))),0),0))</f>
        <v/>
      </c>
      <c r="H39">
        <f>IF(OR(Designer!$C$6="Threshold Trigger",Designer!$C$6="One-Shot"),G39,H38+(G39-H38)*IF(G39&gt;H38,IFERROR(VLOOKUP(Designer!$C$11,Lookup!$A$2:$B$7,2,FALSE),1),IFERROR(VLOOKUP(Designer!$C$12,Lookup!$A$2:$B$7,2,FALSE),1)))</f>
        <v/>
      </c>
    </row>
    <row r="40">
      <c r="A40" t="n">
        <v>1.9</v>
      </c>
      <c r="B40">
        <f>MIN(1,MAX(0,(A40-0.5)/3))</f>
        <v/>
      </c>
      <c r="C40">
        <f>IF(AND(A40&gt;=1,A40&lt;3.5),1,0)</f>
        <v/>
      </c>
      <c r="D40">
        <f>IF(AND(A40&gt;=1,A40&lt;1.3),1,0)</f>
        <v/>
      </c>
      <c r="E40">
        <f>0.5+0.5*SIN(2*PI()*A40/2)</f>
        <v/>
      </c>
      <c r="F40">
        <f>IFERROR(INDEX(B40:E40,1,MATCH(Designer!$C$17,B$1:E$1,0)),0)</f>
        <v/>
      </c>
      <c r="G40">
        <f>IF(OR(Designer!$C$6="Tracking",Designer!$C$6="Switch"),IFERROR(INDEX(CurveData!$M$2:$M$52,MAX(1,MATCH(MAX(0,MIN(1,F40)),CurveData!$A$2:$A$52,1))),0),IF(AND(A40&gt;=1,A40&lt;=1+Designer!$C$13),IFERROR(INDEX(CurveData!$M$2:$M$52,MAX(1,MATCH(MAX(0,MIN(1,(A40-1)/Designer!$C$13)),CurveData!$A$2:$A$52,1))),0),0))</f>
        <v/>
      </c>
      <c r="H40">
        <f>IF(OR(Designer!$C$6="Threshold Trigger",Designer!$C$6="One-Shot"),G40,H39+(G40-H39)*IF(G40&gt;H39,IFERROR(VLOOKUP(Designer!$C$11,Lookup!$A$2:$B$7,2,FALSE),1),IFERROR(VLOOKUP(Designer!$C$12,Lookup!$A$2:$B$7,2,FALSE),1)))</f>
        <v/>
      </c>
    </row>
    <row r="41">
      <c r="A41" t="n">
        <v>1.95</v>
      </c>
      <c r="B41">
        <f>MIN(1,MAX(0,(A41-0.5)/3))</f>
        <v/>
      </c>
      <c r="C41">
        <f>IF(AND(A41&gt;=1,A41&lt;3.5),1,0)</f>
        <v/>
      </c>
      <c r="D41">
        <f>IF(AND(A41&gt;=1,A41&lt;1.3),1,0)</f>
        <v/>
      </c>
      <c r="E41">
        <f>0.5+0.5*SIN(2*PI()*A41/2)</f>
        <v/>
      </c>
      <c r="F41">
        <f>IFERROR(INDEX(B41:E41,1,MATCH(Designer!$C$17,B$1:E$1,0)),0)</f>
        <v/>
      </c>
      <c r="G41">
        <f>IF(OR(Designer!$C$6="Tracking",Designer!$C$6="Switch"),IFERROR(INDEX(CurveData!$M$2:$M$52,MAX(1,MATCH(MAX(0,MIN(1,F41)),CurveData!$A$2:$A$52,1))),0),IF(AND(A41&gt;=1,A41&lt;=1+Designer!$C$13),IFERROR(INDEX(CurveData!$M$2:$M$52,MAX(1,MATCH(MAX(0,MIN(1,(A41-1)/Designer!$C$13)),CurveData!$A$2:$A$52,1))),0),0))</f>
        <v/>
      </c>
      <c r="H41">
        <f>IF(OR(Designer!$C$6="Threshold Trigger",Designer!$C$6="One-Shot"),G41,H40+(G41-H40)*IF(G41&gt;H40,IFERROR(VLOOKUP(Designer!$C$11,Lookup!$A$2:$B$7,2,FALSE),1),IFERROR(VLOOKUP(Designer!$C$12,Lookup!$A$2:$B$7,2,FALSE),1)))</f>
        <v/>
      </c>
    </row>
    <row r="42">
      <c r="A42" t="n">
        <v>2</v>
      </c>
      <c r="B42">
        <f>MIN(1,MAX(0,(A42-0.5)/3))</f>
        <v/>
      </c>
      <c r="C42">
        <f>IF(AND(A42&gt;=1,A42&lt;3.5),1,0)</f>
        <v/>
      </c>
      <c r="D42">
        <f>IF(AND(A42&gt;=1,A42&lt;1.3),1,0)</f>
        <v/>
      </c>
      <c r="E42">
        <f>0.5+0.5*SIN(2*PI()*A42/2)</f>
        <v/>
      </c>
      <c r="F42">
        <f>IFERROR(INDEX(B42:E42,1,MATCH(Designer!$C$17,B$1:E$1,0)),0)</f>
        <v/>
      </c>
      <c r="G42">
        <f>IF(OR(Designer!$C$6="Tracking",Designer!$C$6="Switch"),IFERROR(INDEX(CurveData!$M$2:$M$52,MAX(1,MATCH(MAX(0,MIN(1,F42)),CurveData!$A$2:$A$52,1))),0),IF(AND(A42&gt;=1,A42&lt;=1+Designer!$C$13),IFERROR(INDEX(CurveData!$M$2:$M$52,MAX(1,MATCH(MAX(0,MIN(1,(A42-1)/Designer!$C$13)),CurveData!$A$2:$A$52,1))),0),0))</f>
        <v/>
      </c>
      <c r="H42">
        <f>IF(OR(Designer!$C$6="Threshold Trigger",Designer!$C$6="One-Shot"),G42,H41+(G42-H41)*IF(G42&gt;H41,IFERROR(VLOOKUP(Designer!$C$11,Lookup!$A$2:$B$7,2,FALSE),1),IFERROR(VLOOKUP(Designer!$C$12,Lookup!$A$2:$B$7,2,FALSE),1)))</f>
        <v/>
      </c>
    </row>
    <row r="43">
      <c r="A43" t="n">
        <v>2.05</v>
      </c>
      <c r="B43">
        <f>MIN(1,MAX(0,(A43-0.5)/3))</f>
        <v/>
      </c>
      <c r="C43">
        <f>IF(AND(A43&gt;=1,A43&lt;3.5),1,0)</f>
        <v/>
      </c>
      <c r="D43">
        <f>IF(AND(A43&gt;=1,A43&lt;1.3),1,0)</f>
        <v/>
      </c>
      <c r="E43">
        <f>0.5+0.5*SIN(2*PI()*A43/2)</f>
        <v/>
      </c>
      <c r="F43">
        <f>IFERROR(INDEX(B43:E43,1,MATCH(Designer!$C$17,B$1:E$1,0)),0)</f>
        <v/>
      </c>
      <c r="G43">
        <f>IF(OR(Designer!$C$6="Tracking",Designer!$C$6="Switch"),IFERROR(INDEX(CurveData!$M$2:$M$52,MAX(1,MATCH(MAX(0,MIN(1,F43)),CurveData!$A$2:$A$52,1))),0),IF(AND(A43&gt;=1,A43&lt;=1+Designer!$C$13),IFERROR(INDEX(CurveData!$M$2:$M$52,MAX(1,MATCH(MAX(0,MIN(1,(A43-1)/Designer!$C$13)),CurveData!$A$2:$A$52,1))),0),0))</f>
        <v/>
      </c>
      <c r="H43">
        <f>IF(OR(Designer!$C$6="Threshold Trigger",Designer!$C$6="One-Shot"),G43,H42+(G43-H42)*IF(G43&gt;H42,IFERROR(VLOOKUP(Designer!$C$11,Lookup!$A$2:$B$7,2,FALSE),1),IFERROR(VLOOKUP(Designer!$C$12,Lookup!$A$2:$B$7,2,FALSE),1)))</f>
        <v/>
      </c>
    </row>
    <row r="44">
      <c r="A44" t="n">
        <v>2.1</v>
      </c>
      <c r="B44">
        <f>MIN(1,MAX(0,(A44-0.5)/3))</f>
        <v/>
      </c>
      <c r="C44">
        <f>IF(AND(A44&gt;=1,A44&lt;3.5),1,0)</f>
        <v/>
      </c>
      <c r="D44">
        <f>IF(AND(A44&gt;=1,A44&lt;1.3),1,0)</f>
        <v/>
      </c>
      <c r="E44">
        <f>0.5+0.5*SIN(2*PI()*A44/2)</f>
        <v/>
      </c>
      <c r="F44">
        <f>IFERROR(INDEX(B44:E44,1,MATCH(Designer!$C$17,B$1:E$1,0)),0)</f>
        <v/>
      </c>
      <c r="G44">
        <f>IF(OR(Designer!$C$6="Tracking",Designer!$C$6="Switch"),IFERROR(INDEX(CurveData!$M$2:$M$52,MAX(1,MATCH(MAX(0,MIN(1,F44)),CurveData!$A$2:$A$52,1))),0),IF(AND(A44&gt;=1,A44&lt;=1+Designer!$C$13),IFERROR(INDEX(CurveData!$M$2:$M$52,MAX(1,MATCH(MAX(0,MIN(1,(A44-1)/Designer!$C$13)),CurveData!$A$2:$A$52,1))),0),0))</f>
        <v/>
      </c>
      <c r="H44">
        <f>IF(OR(Designer!$C$6="Threshold Trigger",Designer!$C$6="One-Shot"),G44,H43+(G44-H43)*IF(G44&gt;H43,IFERROR(VLOOKUP(Designer!$C$11,Lookup!$A$2:$B$7,2,FALSE),1),IFERROR(VLOOKUP(Designer!$C$12,Lookup!$A$2:$B$7,2,FALSE),1)))</f>
        <v/>
      </c>
    </row>
    <row r="45">
      <c r="A45" t="n">
        <v>2.15</v>
      </c>
      <c r="B45">
        <f>MIN(1,MAX(0,(A45-0.5)/3))</f>
        <v/>
      </c>
      <c r="C45">
        <f>IF(AND(A45&gt;=1,A45&lt;3.5),1,0)</f>
        <v/>
      </c>
      <c r="D45">
        <f>IF(AND(A45&gt;=1,A45&lt;1.3),1,0)</f>
        <v/>
      </c>
      <c r="E45">
        <f>0.5+0.5*SIN(2*PI()*A45/2)</f>
        <v/>
      </c>
      <c r="F45">
        <f>IFERROR(INDEX(B45:E45,1,MATCH(Designer!$C$17,B$1:E$1,0)),0)</f>
        <v/>
      </c>
      <c r="G45">
        <f>IF(OR(Designer!$C$6="Tracking",Designer!$C$6="Switch"),IFERROR(INDEX(CurveData!$M$2:$M$52,MAX(1,MATCH(MAX(0,MIN(1,F45)),CurveData!$A$2:$A$52,1))),0),IF(AND(A45&gt;=1,A45&lt;=1+Designer!$C$13),IFERROR(INDEX(CurveData!$M$2:$M$52,MAX(1,MATCH(MAX(0,MIN(1,(A45-1)/Designer!$C$13)),CurveData!$A$2:$A$52,1))),0),0))</f>
        <v/>
      </c>
      <c r="H45">
        <f>IF(OR(Designer!$C$6="Threshold Trigger",Designer!$C$6="One-Shot"),G45,H44+(G45-H44)*IF(G45&gt;H44,IFERROR(VLOOKUP(Designer!$C$11,Lookup!$A$2:$B$7,2,FALSE),1),IFERROR(VLOOKUP(Designer!$C$12,Lookup!$A$2:$B$7,2,FALSE),1)))</f>
        <v/>
      </c>
    </row>
    <row r="46">
      <c r="A46" t="n">
        <v>2.2</v>
      </c>
      <c r="B46">
        <f>MIN(1,MAX(0,(A46-0.5)/3))</f>
        <v/>
      </c>
      <c r="C46">
        <f>IF(AND(A46&gt;=1,A46&lt;3.5),1,0)</f>
        <v/>
      </c>
      <c r="D46">
        <f>IF(AND(A46&gt;=1,A46&lt;1.3),1,0)</f>
        <v/>
      </c>
      <c r="E46">
        <f>0.5+0.5*SIN(2*PI()*A46/2)</f>
        <v/>
      </c>
      <c r="F46">
        <f>IFERROR(INDEX(B46:E46,1,MATCH(Designer!$C$17,B$1:E$1,0)),0)</f>
        <v/>
      </c>
      <c r="G46">
        <f>IF(OR(Designer!$C$6="Tracking",Designer!$C$6="Switch"),IFERROR(INDEX(CurveData!$M$2:$M$52,MAX(1,MATCH(MAX(0,MIN(1,F46)),CurveData!$A$2:$A$52,1))),0),IF(AND(A46&gt;=1,A46&lt;=1+Designer!$C$13),IFERROR(INDEX(CurveData!$M$2:$M$52,MAX(1,MATCH(MAX(0,MIN(1,(A46-1)/Designer!$C$13)),CurveData!$A$2:$A$52,1))),0),0))</f>
        <v/>
      </c>
      <c r="H46">
        <f>IF(OR(Designer!$C$6="Threshold Trigger",Designer!$C$6="One-Shot"),G46,H45+(G46-H45)*IF(G46&gt;H45,IFERROR(VLOOKUP(Designer!$C$11,Lookup!$A$2:$B$7,2,FALSE),1),IFERROR(VLOOKUP(Designer!$C$12,Lookup!$A$2:$B$7,2,FALSE),1)))</f>
        <v/>
      </c>
    </row>
    <row r="47">
      <c r="A47" t="n">
        <v>2.25</v>
      </c>
      <c r="B47">
        <f>MIN(1,MAX(0,(A47-0.5)/3))</f>
        <v/>
      </c>
      <c r="C47">
        <f>IF(AND(A47&gt;=1,A47&lt;3.5),1,0)</f>
        <v/>
      </c>
      <c r="D47">
        <f>IF(AND(A47&gt;=1,A47&lt;1.3),1,0)</f>
        <v/>
      </c>
      <c r="E47">
        <f>0.5+0.5*SIN(2*PI()*A47/2)</f>
        <v/>
      </c>
      <c r="F47">
        <f>IFERROR(INDEX(B47:E47,1,MATCH(Designer!$C$17,B$1:E$1,0)),0)</f>
        <v/>
      </c>
      <c r="G47">
        <f>IF(OR(Designer!$C$6="Tracking",Designer!$C$6="Switch"),IFERROR(INDEX(CurveData!$M$2:$M$52,MAX(1,MATCH(MAX(0,MIN(1,F47)),CurveData!$A$2:$A$52,1))),0),IF(AND(A47&gt;=1,A47&lt;=1+Designer!$C$13),IFERROR(INDEX(CurveData!$M$2:$M$52,MAX(1,MATCH(MAX(0,MIN(1,(A47-1)/Designer!$C$13)),CurveData!$A$2:$A$52,1))),0),0))</f>
        <v/>
      </c>
      <c r="H47">
        <f>IF(OR(Designer!$C$6="Threshold Trigger",Designer!$C$6="One-Shot"),G47,H46+(G47-H46)*IF(G47&gt;H46,IFERROR(VLOOKUP(Designer!$C$11,Lookup!$A$2:$B$7,2,FALSE),1),IFERROR(VLOOKUP(Designer!$C$12,Lookup!$A$2:$B$7,2,FALSE),1)))</f>
        <v/>
      </c>
    </row>
    <row r="48">
      <c r="A48" t="n">
        <v>2.3</v>
      </c>
      <c r="B48">
        <f>MIN(1,MAX(0,(A48-0.5)/3))</f>
        <v/>
      </c>
      <c r="C48">
        <f>IF(AND(A48&gt;=1,A48&lt;3.5),1,0)</f>
        <v/>
      </c>
      <c r="D48">
        <f>IF(AND(A48&gt;=1,A48&lt;1.3),1,0)</f>
        <v/>
      </c>
      <c r="E48">
        <f>0.5+0.5*SIN(2*PI()*A48/2)</f>
        <v/>
      </c>
      <c r="F48">
        <f>IFERROR(INDEX(B48:E48,1,MATCH(Designer!$C$17,B$1:E$1,0)),0)</f>
        <v/>
      </c>
      <c r="G48">
        <f>IF(OR(Designer!$C$6="Tracking",Designer!$C$6="Switch"),IFERROR(INDEX(CurveData!$M$2:$M$52,MAX(1,MATCH(MAX(0,MIN(1,F48)),CurveData!$A$2:$A$52,1))),0),IF(AND(A48&gt;=1,A48&lt;=1+Designer!$C$13),IFERROR(INDEX(CurveData!$M$2:$M$52,MAX(1,MATCH(MAX(0,MIN(1,(A48-1)/Designer!$C$13)),CurveData!$A$2:$A$52,1))),0),0))</f>
        <v/>
      </c>
      <c r="H48">
        <f>IF(OR(Designer!$C$6="Threshold Trigger",Designer!$C$6="One-Shot"),G48,H47+(G48-H47)*IF(G48&gt;H47,IFERROR(VLOOKUP(Designer!$C$11,Lookup!$A$2:$B$7,2,FALSE),1),IFERROR(VLOOKUP(Designer!$C$12,Lookup!$A$2:$B$7,2,FALSE),1)))</f>
        <v/>
      </c>
    </row>
    <row r="49">
      <c r="A49" t="n">
        <v>2.35</v>
      </c>
      <c r="B49">
        <f>MIN(1,MAX(0,(A49-0.5)/3))</f>
        <v/>
      </c>
      <c r="C49">
        <f>IF(AND(A49&gt;=1,A49&lt;3.5),1,0)</f>
        <v/>
      </c>
      <c r="D49">
        <f>IF(AND(A49&gt;=1,A49&lt;1.3),1,0)</f>
        <v/>
      </c>
      <c r="E49">
        <f>0.5+0.5*SIN(2*PI()*A49/2)</f>
        <v/>
      </c>
      <c r="F49">
        <f>IFERROR(INDEX(B49:E49,1,MATCH(Designer!$C$17,B$1:E$1,0)),0)</f>
        <v/>
      </c>
      <c r="G49">
        <f>IF(OR(Designer!$C$6="Tracking",Designer!$C$6="Switch"),IFERROR(INDEX(CurveData!$M$2:$M$52,MAX(1,MATCH(MAX(0,MIN(1,F49)),CurveData!$A$2:$A$52,1))),0),IF(AND(A49&gt;=1,A49&lt;=1+Designer!$C$13),IFERROR(INDEX(CurveData!$M$2:$M$52,MAX(1,MATCH(MAX(0,MIN(1,(A49-1)/Designer!$C$13)),CurveData!$A$2:$A$52,1))),0),0))</f>
        <v/>
      </c>
      <c r="H49">
        <f>IF(OR(Designer!$C$6="Threshold Trigger",Designer!$C$6="One-Shot"),G49,H48+(G49-H48)*IF(G49&gt;H48,IFERROR(VLOOKUP(Designer!$C$11,Lookup!$A$2:$B$7,2,FALSE),1),IFERROR(VLOOKUP(Designer!$C$12,Lookup!$A$2:$B$7,2,FALSE),1)))</f>
        <v/>
      </c>
    </row>
    <row r="50">
      <c r="A50" t="n">
        <v>2.4</v>
      </c>
      <c r="B50">
        <f>MIN(1,MAX(0,(A50-0.5)/3))</f>
        <v/>
      </c>
      <c r="C50">
        <f>IF(AND(A50&gt;=1,A50&lt;3.5),1,0)</f>
        <v/>
      </c>
      <c r="D50">
        <f>IF(AND(A50&gt;=1,A50&lt;1.3),1,0)</f>
        <v/>
      </c>
      <c r="E50">
        <f>0.5+0.5*SIN(2*PI()*A50/2)</f>
        <v/>
      </c>
      <c r="F50">
        <f>IFERROR(INDEX(B50:E50,1,MATCH(Designer!$C$17,B$1:E$1,0)),0)</f>
        <v/>
      </c>
      <c r="G50">
        <f>IF(OR(Designer!$C$6="Tracking",Designer!$C$6="Switch"),IFERROR(INDEX(CurveData!$M$2:$M$52,MAX(1,MATCH(MAX(0,MIN(1,F50)),CurveData!$A$2:$A$52,1))),0),IF(AND(A50&gt;=1,A50&lt;=1+Designer!$C$13),IFERROR(INDEX(CurveData!$M$2:$M$52,MAX(1,MATCH(MAX(0,MIN(1,(A50-1)/Designer!$C$13)),CurveData!$A$2:$A$52,1))),0),0))</f>
        <v/>
      </c>
      <c r="H50">
        <f>IF(OR(Designer!$C$6="Threshold Trigger",Designer!$C$6="One-Shot"),G50,H49+(G50-H49)*IF(G50&gt;H49,IFERROR(VLOOKUP(Designer!$C$11,Lookup!$A$2:$B$7,2,FALSE),1),IFERROR(VLOOKUP(Designer!$C$12,Lookup!$A$2:$B$7,2,FALSE),1)))</f>
        <v/>
      </c>
    </row>
    <row r="51">
      <c r="A51" t="n">
        <v>2.45</v>
      </c>
      <c r="B51">
        <f>MIN(1,MAX(0,(A51-0.5)/3))</f>
        <v/>
      </c>
      <c r="C51">
        <f>IF(AND(A51&gt;=1,A51&lt;3.5),1,0)</f>
        <v/>
      </c>
      <c r="D51">
        <f>IF(AND(A51&gt;=1,A51&lt;1.3),1,0)</f>
        <v/>
      </c>
      <c r="E51">
        <f>0.5+0.5*SIN(2*PI()*A51/2)</f>
        <v/>
      </c>
      <c r="F51">
        <f>IFERROR(INDEX(B51:E51,1,MATCH(Designer!$C$17,B$1:E$1,0)),0)</f>
        <v/>
      </c>
      <c r="G51">
        <f>IF(OR(Designer!$C$6="Tracking",Designer!$C$6="Switch"),IFERROR(INDEX(CurveData!$M$2:$M$52,MAX(1,MATCH(MAX(0,MIN(1,F51)),CurveData!$A$2:$A$52,1))),0),IF(AND(A51&gt;=1,A51&lt;=1+Designer!$C$13),IFERROR(INDEX(CurveData!$M$2:$M$52,MAX(1,MATCH(MAX(0,MIN(1,(A51-1)/Designer!$C$13)),CurveData!$A$2:$A$52,1))),0),0))</f>
        <v/>
      </c>
      <c r="H51">
        <f>IF(OR(Designer!$C$6="Threshold Trigger",Designer!$C$6="One-Shot"),G51,H50+(G51-H50)*IF(G51&gt;H50,IFERROR(VLOOKUP(Designer!$C$11,Lookup!$A$2:$B$7,2,FALSE),1),IFERROR(VLOOKUP(Designer!$C$12,Lookup!$A$2:$B$7,2,FALSE),1)))</f>
        <v/>
      </c>
    </row>
    <row r="52">
      <c r="A52" t="n">
        <v>2.5</v>
      </c>
      <c r="B52">
        <f>MIN(1,MAX(0,(A52-0.5)/3))</f>
        <v/>
      </c>
      <c r="C52">
        <f>IF(AND(A52&gt;=1,A52&lt;3.5),1,0)</f>
        <v/>
      </c>
      <c r="D52">
        <f>IF(AND(A52&gt;=1,A52&lt;1.3),1,0)</f>
        <v/>
      </c>
      <c r="E52">
        <f>0.5+0.5*SIN(2*PI()*A52/2)</f>
        <v/>
      </c>
      <c r="F52">
        <f>IFERROR(INDEX(B52:E52,1,MATCH(Designer!$C$17,B$1:E$1,0)),0)</f>
        <v/>
      </c>
      <c r="G52">
        <f>IF(OR(Designer!$C$6="Tracking",Designer!$C$6="Switch"),IFERROR(INDEX(CurveData!$M$2:$M$52,MAX(1,MATCH(MAX(0,MIN(1,F52)),CurveData!$A$2:$A$52,1))),0),IF(AND(A52&gt;=1,A52&lt;=1+Designer!$C$13),IFERROR(INDEX(CurveData!$M$2:$M$52,MAX(1,MATCH(MAX(0,MIN(1,(A52-1)/Designer!$C$13)),CurveData!$A$2:$A$52,1))),0),0))</f>
        <v/>
      </c>
      <c r="H52">
        <f>IF(OR(Designer!$C$6="Threshold Trigger",Designer!$C$6="One-Shot"),G52,H51+(G52-H51)*IF(G52&gt;H51,IFERROR(VLOOKUP(Designer!$C$11,Lookup!$A$2:$B$7,2,FALSE),1),IFERROR(VLOOKUP(Designer!$C$12,Lookup!$A$2:$B$7,2,FALSE),1)))</f>
        <v/>
      </c>
    </row>
    <row r="53">
      <c r="A53" t="n">
        <v>2.55</v>
      </c>
      <c r="B53">
        <f>MIN(1,MAX(0,(A53-0.5)/3))</f>
        <v/>
      </c>
      <c r="C53">
        <f>IF(AND(A53&gt;=1,A53&lt;3.5),1,0)</f>
        <v/>
      </c>
      <c r="D53">
        <f>IF(AND(A53&gt;=1,A53&lt;1.3),1,0)</f>
        <v/>
      </c>
      <c r="E53">
        <f>0.5+0.5*SIN(2*PI()*A53/2)</f>
        <v/>
      </c>
      <c r="F53">
        <f>IFERROR(INDEX(B53:E53,1,MATCH(Designer!$C$17,B$1:E$1,0)),0)</f>
        <v/>
      </c>
      <c r="G53">
        <f>IF(OR(Designer!$C$6="Tracking",Designer!$C$6="Switch"),IFERROR(INDEX(CurveData!$M$2:$M$52,MAX(1,MATCH(MAX(0,MIN(1,F53)),CurveData!$A$2:$A$52,1))),0),IF(AND(A53&gt;=1,A53&lt;=1+Designer!$C$13),IFERROR(INDEX(CurveData!$M$2:$M$52,MAX(1,MATCH(MAX(0,MIN(1,(A53-1)/Designer!$C$13)),CurveData!$A$2:$A$52,1))),0),0))</f>
        <v/>
      </c>
      <c r="H53">
        <f>IF(OR(Designer!$C$6="Threshold Trigger",Designer!$C$6="One-Shot"),G53,H52+(G53-H52)*IF(G53&gt;H52,IFERROR(VLOOKUP(Designer!$C$11,Lookup!$A$2:$B$7,2,FALSE),1),IFERROR(VLOOKUP(Designer!$C$12,Lookup!$A$2:$B$7,2,FALSE),1)))</f>
        <v/>
      </c>
    </row>
    <row r="54">
      <c r="A54" t="n">
        <v>2.6</v>
      </c>
      <c r="B54">
        <f>MIN(1,MAX(0,(A54-0.5)/3))</f>
        <v/>
      </c>
      <c r="C54">
        <f>IF(AND(A54&gt;=1,A54&lt;3.5),1,0)</f>
        <v/>
      </c>
      <c r="D54">
        <f>IF(AND(A54&gt;=1,A54&lt;1.3),1,0)</f>
        <v/>
      </c>
      <c r="E54">
        <f>0.5+0.5*SIN(2*PI()*A54/2)</f>
        <v/>
      </c>
      <c r="F54">
        <f>IFERROR(INDEX(B54:E54,1,MATCH(Designer!$C$17,B$1:E$1,0)),0)</f>
        <v/>
      </c>
      <c r="G54">
        <f>IF(OR(Designer!$C$6="Tracking",Designer!$C$6="Switch"),IFERROR(INDEX(CurveData!$M$2:$M$52,MAX(1,MATCH(MAX(0,MIN(1,F54)),CurveData!$A$2:$A$52,1))),0),IF(AND(A54&gt;=1,A54&lt;=1+Designer!$C$13),IFERROR(INDEX(CurveData!$M$2:$M$52,MAX(1,MATCH(MAX(0,MIN(1,(A54-1)/Designer!$C$13)),CurveData!$A$2:$A$52,1))),0),0))</f>
        <v/>
      </c>
      <c r="H54">
        <f>IF(OR(Designer!$C$6="Threshold Trigger",Designer!$C$6="One-Shot"),G54,H53+(G54-H53)*IF(G54&gt;H53,IFERROR(VLOOKUP(Designer!$C$11,Lookup!$A$2:$B$7,2,FALSE),1),IFERROR(VLOOKUP(Designer!$C$12,Lookup!$A$2:$B$7,2,FALSE),1)))</f>
        <v/>
      </c>
    </row>
    <row r="55">
      <c r="A55" t="n">
        <v>2.65</v>
      </c>
      <c r="B55">
        <f>MIN(1,MAX(0,(A55-0.5)/3))</f>
        <v/>
      </c>
      <c r="C55">
        <f>IF(AND(A55&gt;=1,A55&lt;3.5),1,0)</f>
        <v/>
      </c>
      <c r="D55">
        <f>IF(AND(A55&gt;=1,A55&lt;1.3),1,0)</f>
        <v/>
      </c>
      <c r="E55">
        <f>0.5+0.5*SIN(2*PI()*A55/2)</f>
        <v/>
      </c>
      <c r="F55">
        <f>IFERROR(INDEX(B55:E55,1,MATCH(Designer!$C$17,B$1:E$1,0)),0)</f>
        <v/>
      </c>
      <c r="G55">
        <f>IF(OR(Designer!$C$6="Tracking",Designer!$C$6="Switch"),IFERROR(INDEX(CurveData!$M$2:$M$52,MAX(1,MATCH(MAX(0,MIN(1,F55)),CurveData!$A$2:$A$52,1))),0),IF(AND(A55&gt;=1,A55&lt;=1+Designer!$C$13),IFERROR(INDEX(CurveData!$M$2:$M$52,MAX(1,MATCH(MAX(0,MIN(1,(A55-1)/Designer!$C$13)),CurveData!$A$2:$A$52,1))),0),0))</f>
        <v/>
      </c>
      <c r="H55">
        <f>IF(OR(Designer!$C$6="Threshold Trigger",Designer!$C$6="One-Shot"),G55,H54+(G55-H54)*IF(G55&gt;H54,IFERROR(VLOOKUP(Designer!$C$11,Lookup!$A$2:$B$7,2,FALSE),1),IFERROR(VLOOKUP(Designer!$C$12,Lookup!$A$2:$B$7,2,FALSE),1)))</f>
        <v/>
      </c>
    </row>
    <row r="56">
      <c r="A56" t="n">
        <v>2.7</v>
      </c>
      <c r="B56">
        <f>MIN(1,MAX(0,(A56-0.5)/3))</f>
        <v/>
      </c>
      <c r="C56">
        <f>IF(AND(A56&gt;=1,A56&lt;3.5),1,0)</f>
        <v/>
      </c>
      <c r="D56">
        <f>IF(AND(A56&gt;=1,A56&lt;1.3),1,0)</f>
        <v/>
      </c>
      <c r="E56">
        <f>0.5+0.5*SIN(2*PI()*A56/2)</f>
        <v/>
      </c>
      <c r="F56">
        <f>IFERROR(INDEX(B56:E56,1,MATCH(Designer!$C$17,B$1:E$1,0)),0)</f>
        <v/>
      </c>
      <c r="G56">
        <f>IF(OR(Designer!$C$6="Tracking",Designer!$C$6="Switch"),IFERROR(INDEX(CurveData!$M$2:$M$52,MAX(1,MATCH(MAX(0,MIN(1,F56)),CurveData!$A$2:$A$52,1))),0),IF(AND(A56&gt;=1,A56&lt;=1+Designer!$C$13),IFERROR(INDEX(CurveData!$M$2:$M$52,MAX(1,MATCH(MAX(0,MIN(1,(A56-1)/Designer!$C$13)),CurveData!$A$2:$A$52,1))),0),0))</f>
        <v/>
      </c>
      <c r="H56">
        <f>IF(OR(Designer!$C$6="Threshold Trigger",Designer!$C$6="One-Shot"),G56,H55+(G56-H55)*IF(G56&gt;H55,IFERROR(VLOOKUP(Designer!$C$11,Lookup!$A$2:$B$7,2,FALSE),1),IFERROR(VLOOKUP(Designer!$C$12,Lookup!$A$2:$B$7,2,FALSE),1)))</f>
        <v/>
      </c>
    </row>
    <row r="57">
      <c r="A57" t="n">
        <v>2.75</v>
      </c>
      <c r="B57">
        <f>MIN(1,MAX(0,(A57-0.5)/3))</f>
        <v/>
      </c>
      <c r="C57">
        <f>IF(AND(A57&gt;=1,A57&lt;3.5),1,0)</f>
        <v/>
      </c>
      <c r="D57">
        <f>IF(AND(A57&gt;=1,A57&lt;1.3),1,0)</f>
        <v/>
      </c>
      <c r="E57">
        <f>0.5+0.5*SIN(2*PI()*A57/2)</f>
        <v/>
      </c>
      <c r="F57">
        <f>IFERROR(INDEX(B57:E57,1,MATCH(Designer!$C$17,B$1:E$1,0)),0)</f>
        <v/>
      </c>
      <c r="G57">
        <f>IF(OR(Designer!$C$6="Tracking",Designer!$C$6="Switch"),IFERROR(INDEX(CurveData!$M$2:$M$52,MAX(1,MATCH(MAX(0,MIN(1,F57)),CurveData!$A$2:$A$52,1))),0),IF(AND(A57&gt;=1,A57&lt;=1+Designer!$C$13),IFERROR(INDEX(CurveData!$M$2:$M$52,MAX(1,MATCH(MAX(0,MIN(1,(A57-1)/Designer!$C$13)),CurveData!$A$2:$A$52,1))),0),0))</f>
        <v/>
      </c>
      <c r="H57">
        <f>IF(OR(Designer!$C$6="Threshold Trigger",Designer!$C$6="One-Shot"),G57,H56+(G57-H56)*IF(G57&gt;H56,IFERROR(VLOOKUP(Designer!$C$11,Lookup!$A$2:$B$7,2,FALSE),1),IFERROR(VLOOKUP(Designer!$C$12,Lookup!$A$2:$B$7,2,FALSE),1)))</f>
        <v/>
      </c>
    </row>
    <row r="58">
      <c r="A58" t="n">
        <v>2.8</v>
      </c>
      <c r="B58">
        <f>MIN(1,MAX(0,(A58-0.5)/3))</f>
        <v/>
      </c>
      <c r="C58">
        <f>IF(AND(A58&gt;=1,A58&lt;3.5),1,0)</f>
        <v/>
      </c>
      <c r="D58">
        <f>IF(AND(A58&gt;=1,A58&lt;1.3),1,0)</f>
        <v/>
      </c>
      <c r="E58">
        <f>0.5+0.5*SIN(2*PI()*A58/2)</f>
        <v/>
      </c>
      <c r="F58">
        <f>IFERROR(INDEX(B58:E58,1,MATCH(Designer!$C$17,B$1:E$1,0)),0)</f>
        <v/>
      </c>
      <c r="G58">
        <f>IF(OR(Designer!$C$6="Tracking",Designer!$C$6="Switch"),IFERROR(INDEX(CurveData!$M$2:$M$52,MAX(1,MATCH(MAX(0,MIN(1,F58)),CurveData!$A$2:$A$52,1))),0),IF(AND(A58&gt;=1,A58&lt;=1+Designer!$C$13),IFERROR(INDEX(CurveData!$M$2:$M$52,MAX(1,MATCH(MAX(0,MIN(1,(A58-1)/Designer!$C$13)),CurveData!$A$2:$A$52,1))),0),0))</f>
        <v/>
      </c>
      <c r="H58">
        <f>IF(OR(Designer!$C$6="Threshold Trigger",Designer!$C$6="One-Shot"),G58,H57+(G58-H57)*IF(G58&gt;H57,IFERROR(VLOOKUP(Designer!$C$11,Lookup!$A$2:$B$7,2,FALSE),1),IFERROR(VLOOKUP(Designer!$C$12,Lookup!$A$2:$B$7,2,FALSE),1)))</f>
        <v/>
      </c>
    </row>
    <row r="59">
      <c r="A59" t="n">
        <v>2.85</v>
      </c>
      <c r="B59">
        <f>MIN(1,MAX(0,(A59-0.5)/3))</f>
        <v/>
      </c>
      <c r="C59">
        <f>IF(AND(A59&gt;=1,A59&lt;3.5),1,0)</f>
        <v/>
      </c>
      <c r="D59">
        <f>IF(AND(A59&gt;=1,A59&lt;1.3),1,0)</f>
        <v/>
      </c>
      <c r="E59">
        <f>0.5+0.5*SIN(2*PI()*A59/2)</f>
        <v/>
      </c>
      <c r="F59">
        <f>IFERROR(INDEX(B59:E59,1,MATCH(Designer!$C$17,B$1:E$1,0)),0)</f>
        <v/>
      </c>
      <c r="G59">
        <f>IF(OR(Designer!$C$6="Tracking",Designer!$C$6="Switch"),IFERROR(INDEX(CurveData!$M$2:$M$52,MAX(1,MATCH(MAX(0,MIN(1,F59)),CurveData!$A$2:$A$52,1))),0),IF(AND(A59&gt;=1,A59&lt;=1+Designer!$C$13),IFERROR(INDEX(CurveData!$M$2:$M$52,MAX(1,MATCH(MAX(0,MIN(1,(A59-1)/Designer!$C$13)),CurveData!$A$2:$A$52,1))),0),0))</f>
        <v/>
      </c>
      <c r="H59">
        <f>IF(OR(Designer!$C$6="Threshold Trigger",Designer!$C$6="One-Shot"),G59,H58+(G59-H58)*IF(G59&gt;H58,IFERROR(VLOOKUP(Designer!$C$11,Lookup!$A$2:$B$7,2,FALSE),1),IFERROR(VLOOKUP(Designer!$C$12,Lookup!$A$2:$B$7,2,FALSE),1)))</f>
        <v/>
      </c>
    </row>
    <row r="60">
      <c r="A60" t="n">
        <v>2.9</v>
      </c>
      <c r="B60">
        <f>MIN(1,MAX(0,(A60-0.5)/3))</f>
        <v/>
      </c>
      <c r="C60">
        <f>IF(AND(A60&gt;=1,A60&lt;3.5),1,0)</f>
        <v/>
      </c>
      <c r="D60">
        <f>IF(AND(A60&gt;=1,A60&lt;1.3),1,0)</f>
        <v/>
      </c>
      <c r="E60">
        <f>0.5+0.5*SIN(2*PI()*A60/2)</f>
        <v/>
      </c>
      <c r="F60">
        <f>IFERROR(INDEX(B60:E60,1,MATCH(Designer!$C$17,B$1:E$1,0)),0)</f>
        <v/>
      </c>
      <c r="G60">
        <f>IF(OR(Designer!$C$6="Tracking",Designer!$C$6="Switch"),IFERROR(INDEX(CurveData!$M$2:$M$52,MAX(1,MATCH(MAX(0,MIN(1,F60)),CurveData!$A$2:$A$52,1))),0),IF(AND(A60&gt;=1,A60&lt;=1+Designer!$C$13),IFERROR(INDEX(CurveData!$M$2:$M$52,MAX(1,MATCH(MAX(0,MIN(1,(A60-1)/Designer!$C$13)),CurveData!$A$2:$A$52,1))),0),0))</f>
        <v/>
      </c>
      <c r="H60">
        <f>IF(OR(Designer!$C$6="Threshold Trigger",Designer!$C$6="One-Shot"),G60,H59+(G60-H59)*IF(G60&gt;H59,IFERROR(VLOOKUP(Designer!$C$11,Lookup!$A$2:$B$7,2,FALSE),1),IFERROR(VLOOKUP(Designer!$C$12,Lookup!$A$2:$B$7,2,FALSE),1)))</f>
        <v/>
      </c>
    </row>
    <row r="61">
      <c r="A61" t="n">
        <v>2.95</v>
      </c>
      <c r="B61">
        <f>MIN(1,MAX(0,(A61-0.5)/3))</f>
        <v/>
      </c>
      <c r="C61">
        <f>IF(AND(A61&gt;=1,A61&lt;3.5),1,0)</f>
        <v/>
      </c>
      <c r="D61">
        <f>IF(AND(A61&gt;=1,A61&lt;1.3),1,0)</f>
        <v/>
      </c>
      <c r="E61">
        <f>0.5+0.5*SIN(2*PI()*A61/2)</f>
        <v/>
      </c>
      <c r="F61">
        <f>IFERROR(INDEX(B61:E61,1,MATCH(Designer!$C$17,B$1:E$1,0)),0)</f>
        <v/>
      </c>
      <c r="G61">
        <f>IF(OR(Designer!$C$6="Tracking",Designer!$C$6="Switch"),IFERROR(INDEX(CurveData!$M$2:$M$52,MAX(1,MATCH(MAX(0,MIN(1,F61)),CurveData!$A$2:$A$52,1))),0),IF(AND(A61&gt;=1,A61&lt;=1+Designer!$C$13),IFERROR(INDEX(CurveData!$M$2:$M$52,MAX(1,MATCH(MAX(0,MIN(1,(A61-1)/Designer!$C$13)),CurveData!$A$2:$A$52,1))),0),0))</f>
        <v/>
      </c>
      <c r="H61">
        <f>IF(OR(Designer!$C$6="Threshold Trigger",Designer!$C$6="One-Shot"),G61,H60+(G61-H60)*IF(G61&gt;H60,IFERROR(VLOOKUP(Designer!$C$11,Lookup!$A$2:$B$7,2,FALSE),1),IFERROR(VLOOKUP(Designer!$C$12,Lookup!$A$2:$B$7,2,FALSE),1)))</f>
        <v/>
      </c>
    </row>
    <row r="62">
      <c r="A62" t="n">
        <v>3</v>
      </c>
      <c r="B62">
        <f>MIN(1,MAX(0,(A62-0.5)/3))</f>
        <v/>
      </c>
      <c r="C62">
        <f>IF(AND(A62&gt;=1,A62&lt;3.5),1,0)</f>
        <v/>
      </c>
      <c r="D62">
        <f>IF(AND(A62&gt;=1,A62&lt;1.3),1,0)</f>
        <v/>
      </c>
      <c r="E62">
        <f>0.5+0.5*SIN(2*PI()*A62/2)</f>
        <v/>
      </c>
      <c r="F62">
        <f>IFERROR(INDEX(B62:E62,1,MATCH(Designer!$C$17,B$1:E$1,0)),0)</f>
        <v/>
      </c>
      <c r="G62">
        <f>IF(OR(Designer!$C$6="Tracking",Designer!$C$6="Switch"),IFERROR(INDEX(CurveData!$M$2:$M$52,MAX(1,MATCH(MAX(0,MIN(1,F62)),CurveData!$A$2:$A$52,1))),0),IF(AND(A62&gt;=1,A62&lt;=1+Designer!$C$13),IFERROR(INDEX(CurveData!$M$2:$M$52,MAX(1,MATCH(MAX(0,MIN(1,(A62-1)/Designer!$C$13)),CurveData!$A$2:$A$52,1))),0),0))</f>
        <v/>
      </c>
      <c r="H62">
        <f>IF(OR(Designer!$C$6="Threshold Trigger",Designer!$C$6="One-Shot"),G62,H61+(G62-H61)*IF(G62&gt;H61,IFERROR(VLOOKUP(Designer!$C$11,Lookup!$A$2:$B$7,2,FALSE),1),IFERROR(VLOOKUP(Designer!$C$12,Lookup!$A$2:$B$7,2,FALSE),1)))</f>
        <v/>
      </c>
    </row>
    <row r="63">
      <c r="A63" t="n">
        <v>3.05</v>
      </c>
      <c r="B63">
        <f>MIN(1,MAX(0,(A63-0.5)/3))</f>
        <v/>
      </c>
      <c r="C63">
        <f>IF(AND(A63&gt;=1,A63&lt;3.5),1,0)</f>
        <v/>
      </c>
      <c r="D63">
        <f>IF(AND(A63&gt;=1,A63&lt;1.3),1,0)</f>
        <v/>
      </c>
      <c r="E63">
        <f>0.5+0.5*SIN(2*PI()*A63/2)</f>
        <v/>
      </c>
      <c r="F63">
        <f>IFERROR(INDEX(B63:E63,1,MATCH(Designer!$C$17,B$1:E$1,0)),0)</f>
        <v/>
      </c>
      <c r="G63">
        <f>IF(OR(Designer!$C$6="Tracking",Designer!$C$6="Switch"),IFERROR(INDEX(CurveData!$M$2:$M$52,MAX(1,MATCH(MAX(0,MIN(1,F63)),CurveData!$A$2:$A$52,1))),0),IF(AND(A63&gt;=1,A63&lt;=1+Designer!$C$13),IFERROR(INDEX(CurveData!$M$2:$M$52,MAX(1,MATCH(MAX(0,MIN(1,(A63-1)/Designer!$C$13)),CurveData!$A$2:$A$52,1))),0),0))</f>
        <v/>
      </c>
      <c r="H63">
        <f>IF(OR(Designer!$C$6="Threshold Trigger",Designer!$C$6="One-Shot"),G63,H62+(G63-H62)*IF(G63&gt;H62,IFERROR(VLOOKUP(Designer!$C$11,Lookup!$A$2:$B$7,2,FALSE),1),IFERROR(VLOOKUP(Designer!$C$12,Lookup!$A$2:$B$7,2,FALSE),1)))</f>
        <v/>
      </c>
    </row>
    <row r="64">
      <c r="A64" t="n">
        <v>3.1</v>
      </c>
      <c r="B64">
        <f>MIN(1,MAX(0,(A64-0.5)/3))</f>
        <v/>
      </c>
      <c r="C64">
        <f>IF(AND(A64&gt;=1,A64&lt;3.5),1,0)</f>
        <v/>
      </c>
      <c r="D64">
        <f>IF(AND(A64&gt;=1,A64&lt;1.3),1,0)</f>
        <v/>
      </c>
      <c r="E64">
        <f>0.5+0.5*SIN(2*PI()*A64/2)</f>
        <v/>
      </c>
      <c r="F64">
        <f>IFERROR(INDEX(B64:E64,1,MATCH(Designer!$C$17,B$1:E$1,0)),0)</f>
        <v/>
      </c>
      <c r="G64">
        <f>IF(OR(Designer!$C$6="Tracking",Designer!$C$6="Switch"),IFERROR(INDEX(CurveData!$M$2:$M$52,MAX(1,MATCH(MAX(0,MIN(1,F64)),CurveData!$A$2:$A$52,1))),0),IF(AND(A64&gt;=1,A64&lt;=1+Designer!$C$13),IFERROR(INDEX(CurveData!$M$2:$M$52,MAX(1,MATCH(MAX(0,MIN(1,(A64-1)/Designer!$C$13)),CurveData!$A$2:$A$52,1))),0),0))</f>
        <v/>
      </c>
      <c r="H64">
        <f>IF(OR(Designer!$C$6="Threshold Trigger",Designer!$C$6="One-Shot"),G64,H63+(G64-H63)*IF(G64&gt;H63,IFERROR(VLOOKUP(Designer!$C$11,Lookup!$A$2:$B$7,2,FALSE),1),IFERROR(VLOOKUP(Designer!$C$12,Lookup!$A$2:$B$7,2,FALSE),1)))</f>
        <v/>
      </c>
    </row>
    <row r="65">
      <c r="A65" t="n">
        <v>3.15</v>
      </c>
      <c r="B65">
        <f>MIN(1,MAX(0,(A65-0.5)/3))</f>
        <v/>
      </c>
      <c r="C65">
        <f>IF(AND(A65&gt;=1,A65&lt;3.5),1,0)</f>
        <v/>
      </c>
      <c r="D65">
        <f>IF(AND(A65&gt;=1,A65&lt;1.3),1,0)</f>
        <v/>
      </c>
      <c r="E65">
        <f>0.5+0.5*SIN(2*PI()*A65/2)</f>
        <v/>
      </c>
      <c r="F65">
        <f>IFERROR(INDEX(B65:E65,1,MATCH(Designer!$C$17,B$1:E$1,0)),0)</f>
        <v/>
      </c>
      <c r="G65">
        <f>IF(OR(Designer!$C$6="Tracking",Designer!$C$6="Switch"),IFERROR(INDEX(CurveData!$M$2:$M$52,MAX(1,MATCH(MAX(0,MIN(1,F65)),CurveData!$A$2:$A$52,1))),0),IF(AND(A65&gt;=1,A65&lt;=1+Designer!$C$13),IFERROR(INDEX(CurveData!$M$2:$M$52,MAX(1,MATCH(MAX(0,MIN(1,(A65-1)/Designer!$C$13)),CurveData!$A$2:$A$52,1))),0),0))</f>
        <v/>
      </c>
      <c r="H65">
        <f>IF(OR(Designer!$C$6="Threshold Trigger",Designer!$C$6="One-Shot"),G65,H64+(G65-H64)*IF(G65&gt;H64,IFERROR(VLOOKUP(Designer!$C$11,Lookup!$A$2:$B$7,2,FALSE),1),IFERROR(VLOOKUP(Designer!$C$12,Lookup!$A$2:$B$7,2,FALSE),1)))</f>
        <v/>
      </c>
    </row>
    <row r="66">
      <c r="A66" t="n">
        <v>3.2</v>
      </c>
      <c r="B66">
        <f>MIN(1,MAX(0,(A66-0.5)/3))</f>
        <v/>
      </c>
      <c r="C66">
        <f>IF(AND(A66&gt;=1,A66&lt;3.5),1,0)</f>
        <v/>
      </c>
      <c r="D66">
        <f>IF(AND(A66&gt;=1,A66&lt;1.3),1,0)</f>
        <v/>
      </c>
      <c r="E66">
        <f>0.5+0.5*SIN(2*PI()*A66/2)</f>
        <v/>
      </c>
      <c r="F66">
        <f>IFERROR(INDEX(B66:E66,1,MATCH(Designer!$C$17,B$1:E$1,0)),0)</f>
        <v/>
      </c>
      <c r="G66">
        <f>IF(OR(Designer!$C$6="Tracking",Designer!$C$6="Switch"),IFERROR(INDEX(CurveData!$M$2:$M$52,MAX(1,MATCH(MAX(0,MIN(1,F66)),CurveData!$A$2:$A$52,1))),0),IF(AND(A66&gt;=1,A66&lt;=1+Designer!$C$13),IFERROR(INDEX(CurveData!$M$2:$M$52,MAX(1,MATCH(MAX(0,MIN(1,(A66-1)/Designer!$C$13)),CurveData!$A$2:$A$52,1))),0),0))</f>
        <v/>
      </c>
      <c r="H66">
        <f>IF(OR(Designer!$C$6="Threshold Trigger",Designer!$C$6="One-Shot"),G66,H65+(G66-H65)*IF(G66&gt;H65,IFERROR(VLOOKUP(Designer!$C$11,Lookup!$A$2:$B$7,2,FALSE),1),IFERROR(VLOOKUP(Designer!$C$12,Lookup!$A$2:$B$7,2,FALSE),1)))</f>
        <v/>
      </c>
    </row>
    <row r="67">
      <c r="A67" t="n">
        <v>3.25</v>
      </c>
      <c r="B67">
        <f>MIN(1,MAX(0,(A67-0.5)/3))</f>
        <v/>
      </c>
      <c r="C67">
        <f>IF(AND(A67&gt;=1,A67&lt;3.5),1,0)</f>
        <v/>
      </c>
      <c r="D67">
        <f>IF(AND(A67&gt;=1,A67&lt;1.3),1,0)</f>
        <v/>
      </c>
      <c r="E67">
        <f>0.5+0.5*SIN(2*PI()*A67/2)</f>
        <v/>
      </c>
      <c r="F67">
        <f>IFERROR(INDEX(B67:E67,1,MATCH(Designer!$C$17,B$1:E$1,0)),0)</f>
        <v/>
      </c>
      <c r="G67">
        <f>IF(OR(Designer!$C$6="Tracking",Designer!$C$6="Switch"),IFERROR(INDEX(CurveData!$M$2:$M$52,MAX(1,MATCH(MAX(0,MIN(1,F67)),CurveData!$A$2:$A$52,1))),0),IF(AND(A67&gt;=1,A67&lt;=1+Designer!$C$13),IFERROR(INDEX(CurveData!$M$2:$M$52,MAX(1,MATCH(MAX(0,MIN(1,(A67-1)/Designer!$C$13)),CurveData!$A$2:$A$52,1))),0),0))</f>
        <v/>
      </c>
      <c r="H67">
        <f>IF(OR(Designer!$C$6="Threshold Trigger",Designer!$C$6="One-Shot"),G67,H66+(G67-H66)*IF(G67&gt;H66,IFERROR(VLOOKUP(Designer!$C$11,Lookup!$A$2:$B$7,2,FALSE),1),IFERROR(VLOOKUP(Designer!$C$12,Lookup!$A$2:$B$7,2,FALSE),1)))</f>
        <v/>
      </c>
    </row>
    <row r="68">
      <c r="A68" t="n">
        <v>3.3</v>
      </c>
      <c r="B68">
        <f>MIN(1,MAX(0,(A68-0.5)/3))</f>
        <v/>
      </c>
      <c r="C68">
        <f>IF(AND(A68&gt;=1,A68&lt;3.5),1,0)</f>
        <v/>
      </c>
      <c r="D68">
        <f>IF(AND(A68&gt;=1,A68&lt;1.3),1,0)</f>
        <v/>
      </c>
      <c r="E68">
        <f>0.5+0.5*SIN(2*PI()*A68/2)</f>
        <v/>
      </c>
      <c r="F68">
        <f>IFERROR(INDEX(B68:E68,1,MATCH(Designer!$C$17,B$1:E$1,0)),0)</f>
        <v/>
      </c>
      <c r="G68">
        <f>IF(OR(Designer!$C$6="Tracking",Designer!$C$6="Switch"),IFERROR(INDEX(CurveData!$M$2:$M$52,MAX(1,MATCH(MAX(0,MIN(1,F68)),CurveData!$A$2:$A$52,1))),0),IF(AND(A68&gt;=1,A68&lt;=1+Designer!$C$13),IFERROR(INDEX(CurveData!$M$2:$M$52,MAX(1,MATCH(MAX(0,MIN(1,(A68-1)/Designer!$C$13)),CurveData!$A$2:$A$52,1))),0),0))</f>
        <v/>
      </c>
      <c r="H68">
        <f>IF(OR(Designer!$C$6="Threshold Trigger",Designer!$C$6="One-Shot"),G68,H67+(G68-H67)*IF(G68&gt;H67,IFERROR(VLOOKUP(Designer!$C$11,Lookup!$A$2:$B$7,2,FALSE),1),IFERROR(VLOOKUP(Designer!$C$12,Lookup!$A$2:$B$7,2,FALSE),1)))</f>
        <v/>
      </c>
    </row>
    <row r="69">
      <c r="A69" t="n">
        <v>3.35</v>
      </c>
      <c r="B69">
        <f>MIN(1,MAX(0,(A69-0.5)/3))</f>
        <v/>
      </c>
      <c r="C69">
        <f>IF(AND(A69&gt;=1,A69&lt;3.5),1,0)</f>
        <v/>
      </c>
      <c r="D69">
        <f>IF(AND(A69&gt;=1,A69&lt;1.3),1,0)</f>
        <v/>
      </c>
      <c r="E69">
        <f>0.5+0.5*SIN(2*PI()*A69/2)</f>
        <v/>
      </c>
      <c r="F69">
        <f>IFERROR(INDEX(B69:E69,1,MATCH(Designer!$C$17,B$1:E$1,0)),0)</f>
        <v/>
      </c>
      <c r="G69">
        <f>IF(OR(Designer!$C$6="Tracking",Designer!$C$6="Switch"),IFERROR(INDEX(CurveData!$M$2:$M$52,MAX(1,MATCH(MAX(0,MIN(1,F69)),CurveData!$A$2:$A$52,1))),0),IF(AND(A69&gt;=1,A69&lt;=1+Designer!$C$13),IFERROR(INDEX(CurveData!$M$2:$M$52,MAX(1,MATCH(MAX(0,MIN(1,(A69-1)/Designer!$C$13)),CurveData!$A$2:$A$52,1))),0),0))</f>
        <v/>
      </c>
      <c r="H69">
        <f>IF(OR(Designer!$C$6="Threshold Trigger",Designer!$C$6="One-Shot"),G69,H68+(G69-H68)*IF(G69&gt;H68,IFERROR(VLOOKUP(Designer!$C$11,Lookup!$A$2:$B$7,2,FALSE),1),IFERROR(VLOOKUP(Designer!$C$12,Lookup!$A$2:$B$7,2,FALSE),1)))</f>
        <v/>
      </c>
    </row>
    <row r="70">
      <c r="A70" t="n">
        <v>3.4</v>
      </c>
      <c r="B70">
        <f>MIN(1,MAX(0,(A70-0.5)/3))</f>
        <v/>
      </c>
      <c r="C70">
        <f>IF(AND(A70&gt;=1,A70&lt;3.5),1,0)</f>
        <v/>
      </c>
      <c r="D70">
        <f>IF(AND(A70&gt;=1,A70&lt;1.3),1,0)</f>
        <v/>
      </c>
      <c r="E70">
        <f>0.5+0.5*SIN(2*PI()*A70/2)</f>
        <v/>
      </c>
      <c r="F70">
        <f>IFERROR(INDEX(B70:E70,1,MATCH(Designer!$C$17,B$1:E$1,0)),0)</f>
        <v/>
      </c>
      <c r="G70">
        <f>IF(OR(Designer!$C$6="Tracking",Designer!$C$6="Switch"),IFERROR(INDEX(CurveData!$M$2:$M$52,MAX(1,MATCH(MAX(0,MIN(1,F70)),CurveData!$A$2:$A$52,1))),0),IF(AND(A70&gt;=1,A70&lt;=1+Designer!$C$13),IFERROR(INDEX(CurveData!$M$2:$M$52,MAX(1,MATCH(MAX(0,MIN(1,(A70-1)/Designer!$C$13)),CurveData!$A$2:$A$52,1))),0),0))</f>
        <v/>
      </c>
      <c r="H70">
        <f>IF(OR(Designer!$C$6="Threshold Trigger",Designer!$C$6="One-Shot"),G70,H69+(G70-H69)*IF(G70&gt;H69,IFERROR(VLOOKUP(Designer!$C$11,Lookup!$A$2:$B$7,2,FALSE),1),IFERROR(VLOOKUP(Designer!$C$12,Lookup!$A$2:$B$7,2,FALSE),1)))</f>
        <v/>
      </c>
    </row>
    <row r="71">
      <c r="A71" t="n">
        <v>3.45</v>
      </c>
      <c r="B71">
        <f>MIN(1,MAX(0,(A71-0.5)/3))</f>
        <v/>
      </c>
      <c r="C71">
        <f>IF(AND(A71&gt;=1,A71&lt;3.5),1,0)</f>
        <v/>
      </c>
      <c r="D71">
        <f>IF(AND(A71&gt;=1,A71&lt;1.3),1,0)</f>
        <v/>
      </c>
      <c r="E71">
        <f>0.5+0.5*SIN(2*PI()*A71/2)</f>
        <v/>
      </c>
      <c r="F71">
        <f>IFERROR(INDEX(B71:E71,1,MATCH(Designer!$C$17,B$1:E$1,0)),0)</f>
        <v/>
      </c>
      <c r="G71">
        <f>IF(OR(Designer!$C$6="Tracking",Designer!$C$6="Switch"),IFERROR(INDEX(CurveData!$M$2:$M$52,MAX(1,MATCH(MAX(0,MIN(1,F71)),CurveData!$A$2:$A$52,1))),0),IF(AND(A71&gt;=1,A71&lt;=1+Designer!$C$13),IFERROR(INDEX(CurveData!$M$2:$M$52,MAX(1,MATCH(MAX(0,MIN(1,(A71-1)/Designer!$C$13)),CurveData!$A$2:$A$52,1))),0),0))</f>
        <v/>
      </c>
      <c r="H71">
        <f>IF(OR(Designer!$C$6="Threshold Trigger",Designer!$C$6="One-Shot"),G71,H70+(G71-H70)*IF(G71&gt;H70,IFERROR(VLOOKUP(Designer!$C$11,Lookup!$A$2:$B$7,2,FALSE),1),IFERROR(VLOOKUP(Designer!$C$12,Lookup!$A$2:$B$7,2,FALSE),1)))</f>
        <v/>
      </c>
    </row>
    <row r="72">
      <c r="A72" t="n">
        <v>3.5</v>
      </c>
      <c r="B72">
        <f>MIN(1,MAX(0,(A72-0.5)/3))</f>
        <v/>
      </c>
      <c r="C72">
        <f>IF(AND(A72&gt;=1,A72&lt;3.5),1,0)</f>
        <v/>
      </c>
      <c r="D72">
        <f>IF(AND(A72&gt;=1,A72&lt;1.3),1,0)</f>
        <v/>
      </c>
      <c r="E72">
        <f>0.5+0.5*SIN(2*PI()*A72/2)</f>
        <v/>
      </c>
      <c r="F72">
        <f>IFERROR(INDEX(B72:E72,1,MATCH(Designer!$C$17,B$1:E$1,0)),0)</f>
        <v/>
      </c>
      <c r="G72">
        <f>IF(OR(Designer!$C$6="Tracking",Designer!$C$6="Switch"),IFERROR(INDEX(CurveData!$M$2:$M$52,MAX(1,MATCH(MAX(0,MIN(1,F72)),CurveData!$A$2:$A$52,1))),0),IF(AND(A72&gt;=1,A72&lt;=1+Designer!$C$13),IFERROR(INDEX(CurveData!$M$2:$M$52,MAX(1,MATCH(MAX(0,MIN(1,(A72-1)/Designer!$C$13)),CurveData!$A$2:$A$52,1))),0),0))</f>
        <v/>
      </c>
      <c r="H72">
        <f>IF(OR(Designer!$C$6="Threshold Trigger",Designer!$C$6="One-Shot"),G72,H71+(G72-H71)*IF(G72&gt;H71,IFERROR(VLOOKUP(Designer!$C$11,Lookup!$A$2:$B$7,2,FALSE),1),IFERROR(VLOOKUP(Designer!$C$12,Lookup!$A$2:$B$7,2,FALSE),1)))</f>
        <v/>
      </c>
    </row>
    <row r="73">
      <c r="A73" t="n">
        <v>3.55</v>
      </c>
      <c r="B73">
        <f>MIN(1,MAX(0,(A73-0.5)/3))</f>
        <v/>
      </c>
      <c r="C73">
        <f>IF(AND(A73&gt;=1,A73&lt;3.5),1,0)</f>
        <v/>
      </c>
      <c r="D73">
        <f>IF(AND(A73&gt;=1,A73&lt;1.3),1,0)</f>
        <v/>
      </c>
      <c r="E73">
        <f>0.5+0.5*SIN(2*PI()*A73/2)</f>
        <v/>
      </c>
      <c r="F73">
        <f>IFERROR(INDEX(B73:E73,1,MATCH(Designer!$C$17,B$1:E$1,0)),0)</f>
        <v/>
      </c>
      <c r="G73">
        <f>IF(OR(Designer!$C$6="Tracking",Designer!$C$6="Switch"),IFERROR(INDEX(CurveData!$M$2:$M$52,MAX(1,MATCH(MAX(0,MIN(1,F73)),CurveData!$A$2:$A$52,1))),0),IF(AND(A73&gt;=1,A73&lt;=1+Designer!$C$13),IFERROR(INDEX(CurveData!$M$2:$M$52,MAX(1,MATCH(MAX(0,MIN(1,(A73-1)/Designer!$C$13)),CurveData!$A$2:$A$52,1))),0),0))</f>
        <v/>
      </c>
      <c r="H73">
        <f>IF(OR(Designer!$C$6="Threshold Trigger",Designer!$C$6="One-Shot"),G73,H72+(G73-H72)*IF(G73&gt;H72,IFERROR(VLOOKUP(Designer!$C$11,Lookup!$A$2:$B$7,2,FALSE),1),IFERROR(VLOOKUP(Designer!$C$12,Lookup!$A$2:$B$7,2,FALSE),1)))</f>
        <v/>
      </c>
    </row>
    <row r="74">
      <c r="A74" t="n">
        <v>3.6</v>
      </c>
      <c r="B74">
        <f>MIN(1,MAX(0,(A74-0.5)/3))</f>
        <v/>
      </c>
      <c r="C74">
        <f>IF(AND(A74&gt;=1,A74&lt;3.5),1,0)</f>
        <v/>
      </c>
      <c r="D74">
        <f>IF(AND(A74&gt;=1,A74&lt;1.3),1,0)</f>
        <v/>
      </c>
      <c r="E74">
        <f>0.5+0.5*SIN(2*PI()*A74/2)</f>
        <v/>
      </c>
      <c r="F74">
        <f>IFERROR(INDEX(B74:E74,1,MATCH(Designer!$C$17,B$1:E$1,0)),0)</f>
        <v/>
      </c>
      <c r="G74">
        <f>IF(OR(Designer!$C$6="Tracking",Designer!$C$6="Switch"),IFERROR(INDEX(CurveData!$M$2:$M$52,MAX(1,MATCH(MAX(0,MIN(1,F74)),CurveData!$A$2:$A$52,1))),0),IF(AND(A74&gt;=1,A74&lt;=1+Designer!$C$13),IFERROR(INDEX(CurveData!$M$2:$M$52,MAX(1,MATCH(MAX(0,MIN(1,(A74-1)/Designer!$C$13)),CurveData!$A$2:$A$52,1))),0),0))</f>
        <v/>
      </c>
      <c r="H74">
        <f>IF(OR(Designer!$C$6="Threshold Trigger",Designer!$C$6="One-Shot"),G74,H73+(G74-H73)*IF(G74&gt;H73,IFERROR(VLOOKUP(Designer!$C$11,Lookup!$A$2:$B$7,2,FALSE),1),IFERROR(VLOOKUP(Designer!$C$12,Lookup!$A$2:$B$7,2,FALSE),1)))</f>
        <v/>
      </c>
    </row>
    <row r="75">
      <c r="A75" t="n">
        <v>3.65</v>
      </c>
      <c r="B75">
        <f>MIN(1,MAX(0,(A75-0.5)/3))</f>
        <v/>
      </c>
      <c r="C75">
        <f>IF(AND(A75&gt;=1,A75&lt;3.5),1,0)</f>
        <v/>
      </c>
      <c r="D75">
        <f>IF(AND(A75&gt;=1,A75&lt;1.3),1,0)</f>
        <v/>
      </c>
      <c r="E75">
        <f>0.5+0.5*SIN(2*PI()*A75/2)</f>
        <v/>
      </c>
      <c r="F75">
        <f>IFERROR(INDEX(B75:E75,1,MATCH(Designer!$C$17,B$1:E$1,0)),0)</f>
        <v/>
      </c>
      <c r="G75">
        <f>IF(OR(Designer!$C$6="Tracking",Designer!$C$6="Switch"),IFERROR(INDEX(CurveData!$M$2:$M$52,MAX(1,MATCH(MAX(0,MIN(1,F75)),CurveData!$A$2:$A$52,1))),0),IF(AND(A75&gt;=1,A75&lt;=1+Designer!$C$13),IFERROR(INDEX(CurveData!$M$2:$M$52,MAX(1,MATCH(MAX(0,MIN(1,(A75-1)/Designer!$C$13)),CurveData!$A$2:$A$52,1))),0),0))</f>
        <v/>
      </c>
      <c r="H75">
        <f>IF(OR(Designer!$C$6="Threshold Trigger",Designer!$C$6="One-Shot"),G75,H74+(G75-H74)*IF(G75&gt;H74,IFERROR(VLOOKUP(Designer!$C$11,Lookup!$A$2:$B$7,2,FALSE),1),IFERROR(VLOOKUP(Designer!$C$12,Lookup!$A$2:$B$7,2,FALSE),1)))</f>
        <v/>
      </c>
    </row>
    <row r="76">
      <c r="A76" t="n">
        <v>3.7</v>
      </c>
      <c r="B76">
        <f>MIN(1,MAX(0,(A76-0.5)/3))</f>
        <v/>
      </c>
      <c r="C76">
        <f>IF(AND(A76&gt;=1,A76&lt;3.5),1,0)</f>
        <v/>
      </c>
      <c r="D76">
        <f>IF(AND(A76&gt;=1,A76&lt;1.3),1,0)</f>
        <v/>
      </c>
      <c r="E76">
        <f>0.5+0.5*SIN(2*PI()*A76/2)</f>
        <v/>
      </c>
      <c r="F76">
        <f>IFERROR(INDEX(B76:E76,1,MATCH(Designer!$C$17,B$1:E$1,0)),0)</f>
        <v/>
      </c>
      <c r="G76">
        <f>IF(OR(Designer!$C$6="Tracking",Designer!$C$6="Switch"),IFERROR(INDEX(CurveData!$M$2:$M$52,MAX(1,MATCH(MAX(0,MIN(1,F76)),CurveData!$A$2:$A$52,1))),0),IF(AND(A76&gt;=1,A76&lt;=1+Designer!$C$13),IFERROR(INDEX(CurveData!$M$2:$M$52,MAX(1,MATCH(MAX(0,MIN(1,(A76-1)/Designer!$C$13)),CurveData!$A$2:$A$52,1))),0),0))</f>
        <v/>
      </c>
      <c r="H76">
        <f>IF(OR(Designer!$C$6="Threshold Trigger",Designer!$C$6="One-Shot"),G76,H75+(G76-H75)*IF(G76&gt;H75,IFERROR(VLOOKUP(Designer!$C$11,Lookup!$A$2:$B$7,2,FALSE),1),IFERROR(VLOOKUP(Designer!$C$12,Lookup!$A$2:$B$7,2,FALSE),1)))</f>
        <v/>
      </c>
    </row>
    <row r="77">
      <c r="A77" t="n">
        <v>3.75</v>
      </c>
      <c r="B77">
        <f>MIN(1,MAX(0,(A77-0.5)/3))</f>
        <v/>
      </c>
      <c r="C77">
        <f>IF(AND(A77&gt;=1,A77&lt;3.5),1,0)</f>
        <v/>
      </c>
      <c r="D77">
        <f>IF(AND(A77&gt;=1,A77&lt;1.3),1,0)</f>
        <v/>
      </c>
      <c r="E77">
        <f>0.5+0.5*SIN(2*PI()*A77/2)</f>
        <v/>
      </c>
      <c r="F77">
        <f>IFERROR(INDEX(B77:E77,1,MATCH(Designer!$C$17,B$1:E$1,0)),0)</f>
        <v/>
      </c>
      <c r="G77">
        <f>IF(OR(Designer!$C$6="Tracking",Designer!$C$6="Switch"),IFERROR(INDEX(CurveData!$M$2:$M$52,MAX(1,MATCH(MAX(0,MIN(1,F77)),CurveData!$A$2:$A$52,1))),0),IF(AND(A77&gt;=1,A77&lt;=1+Designer!$C$13),IFERROR(INDEX(CurveData!$M$2:$M$52,MAX(1,MATCH(MAX(0,MIN(1,(A77-1)/Designer!$C$13)),CurveData!$A$2:$A$52,1))),0),0))</f>
        <v/>
      </c>
      <c r="H77">
        <f>IF(OR(Designer!$C$6="Threshold Trigger",Designer!$C$6="One-Shot"),G77,H76+(G77-H76)*IF(G77&gt;H76,IFERROR(VLOOKUP(Designer!$C$11,Lookup!$A$2:$B$7,2,FALSE),1),IFERROR(VLOOKUP(Designer!$C$12,Lookup!$A$2:$B$7,2,FALSE),1)))</f>
        <v/>
      </c>
    </row>
    <row r="78">
      <c r="A78" t="n">
        <v>3.8</v>
      </c>
      <c r="B78">
        <f>MIN(1,MAX(0,(A78-0.5)/3))</f>
        <v/>
      </c>
      <c r="C78">
        <f>IF(AND(A78&gt;=1,A78&lt;3.5),1,0)</f>
        <v/>
      </c>
      <c r="D78">
        <f>IF(AND(A78&gt;=1,A78&lt;1.3),1,0)</f>
        <v/>
      </c>
      <c r="E78">
        <f>0.5+0.5*SIN(2*PI()*A78/2)</f>
        <v/>
      </c>
      <c r="F78">
        <f>IFERROR(INDEX(B78:E78,1,MATCH(Designer!$C$17,B$1:E$1,0)),0)</f>
        <v/>
      </c>
      <c r="G78">
        <f>IF(OR(Designer!$C$6="Tracking",Designer!$C$6="Switch"),IFERROR(INDEX(CurveData!$M$2:$M$52,MAX(1,MATCH(MAX(0,MIN(1,F78)),CurveData!$A$2:$A$52,1))),0),IF(AND(A78&gt;=1,A78&lt;=1+Designer!$C$13),IFERROR(INDEX(CurveData!$M$2:$M$52,MAX(1,MATCH(MAX(0,MIN(1,(A78-1)/Designer!$C$13)),CurveData!$A$2:$A$52,1))),0),0))</f>
        <v/>
      </c>
      <c r="H78">
        <f>IF(OR(Designer!$C$6="Threshold Trigger",Designer!$C$6="One-Shot"),G78,H77+(G78-H77)*IF(G78&gt;H77,IFERROR(VLOOKUP(Designer!$C$11,Lookup!$A$2:$B$7,2,FALSE),1),IFERROR(VLOOKUP(Designer!$C$12,Lookup!$A$2:$B$7,2,FALSE),1)))</f>
        <v/>
      </c>
    </row>
    <row r="79">
      <c r="A79" t="n">
        <v>3.85</v>
      </c>
      <c r="B79">
        <f>MIN(1,MAX(0,(A79-0.5)/3))</f>
        <v/>
      </c>
      <c r="C79">
        <f>IF(AND(A79&gt;=1,A79&lt;3.5),1,0)</f>
        <v/>
      </c>
      <c r="D79">
        <f>IF(AND(A79&gt;=1,A79&lt;1.3),1,0)</f>
        <v/>
      </c>
      <c r="E79">
        <f>0.5+0.5*SIN(2*PI()*A79/2)</f>
        <v/>
      </c>
      <c r="F79">
        <f>IFERROR(INDEX(B79:E79,1,MATCH(Designer!$C$17,B$1:E$1,0)),0)</f>
        <v/>
      </c>
      <c r="G79">
        <f>IF(OR(Designer!$C$6="Tracking",Designer!$C$6="Switch"),IFERROR(INDEX(CurveData!$M$2:$M$52,MAX(1,MATCH(MAX(0,MIN(1,F79)),CurveData!$A$2:$A$52,1))),0),IF(AND(A79&gt;=1,A79&lt;=1+Designer!$C$13),IFERROR(INDEX(CurveData!$M$2:$M$52,MAX(1,MATCH(MAX(0,MIN(1,(A79-1)/Designer!$C$13)),CurveData!$A$2:$A$52,1))),0),0))</f>
        <v/>
      </c>
      <c r="H79">
        <f>IF(OR(Designer!$C$6="Threshold Trigger",Designer!$C$6="One-Shot"),G79,H78+(G79-H78)*IF(G79&gt;H78,IFERROR(VLOOKUP(Designer!$C$11,Lookup!$A$2:$B$7,2,FALSE),1),IFERROR(VLOOKUP(Designer!$C$12,Lookup!$A$2:$B$7,2,FALSE),1)))</f>
        <v/>
      </c>
    </row>
    <row r="80">
      <c r="A80" t="n">
        <v>3.9</v>
      </c>
      <c r="B80">
        <f>MIN(1,MAX(0,(A80-0.5)/3))</f>
        <v/>
      </c>
      <c r="C80">
        <f>IF(AND(A80&gt;=1,A80&lt;3.5),1,0)</f>
        <v/>
      </c>
      <c r="D80">
        <f>IF(AND(A80&gt;=1,A80&lt;1.3),1,0)</f>
        <v/>
      </c>
      <c r="E80">
        <f>0.5+0.5*SIN(2*PI()*A80/2)</f>
        <v/>
      </c>
      <c r="F80">
        <f>IFERROR(INDEX(B80:E80,1,MATCH(Designer!$C$17,B$1:E$1,0)),0)</f>
        <v/>
      </c>
      <c r="G80">
        <f>IF(OR(Designer!$C$6="Tracking",Designer!$C$6="Switch"),IFERROR(INDEX(CurveData!$M$2:$M$52,MAX(1,MATCH(MAX(0,MIN(1,F80)),CurveData!$A$2:$A$52,1))),0),IF(AND(A80&gt;=1,A80&lt;=1+Designer!$C$13),IFERROR(INDEX(CurveData!$M$2:$M$52,MAX(1,MATCH(MAX(0,MIN(1,(A80-1)/Designer!$C$13)),CurveData!$A$2:$A$52,1))),0),0))</f>
        <v/>
      </c>
      <c r="H80">
        <f>IF(OR(Designer!$C$6="Threshold Trigger",Designer!$C$6="One-Shot"),G80,H79+(G80-H79)*IF(G80&gt;H79,IFERROR(VLOOKUP(Designer!$C$11,Lookup!$A$2:$B$7,2,FALSE),1),IFERROR(VLOOKUP(Designer!$C$12,Lookup!$A$2:$B$7,2,FALSE),1)))</f>
        <v/>
      </c>
    </row>
    <row r="81">
      <c r="A81" t="n">
        <v>3.95</v>
      </c>
      <c r="B81">
        <f>MIN(1,MAX(0,(A81-0.5)/3))</f>
        <v/>
      </c>
      <c r="C81">
        <f>IF(AND(A81&gt;=1,A81&lt;3.5),1,0)</f>
        <v/>
      </c>
      <c r="D81">
        <f>IF(AND(A81&gt;=1,A81&lt;1.3),1,0)</f>
        <v/>
      </c>
      <c r="E81">
        <f>0.5+0.5*SIN(2*PI()*A81/2)</f>
        <v/>
      </c>
      <c r="F81">
        <f>IFERROR(INDEX(B81:E81,1,MATCH(Designer!$C$17,B$1:E$1,0)),0)</f>
        <v/>
      </c>
      <c r="G81">
        <f>IF(OR(Designer!$C$6="Tracking",Designer!$C$6="Switch"),IFERROR(INDEX(CurveData!$M$2:$M$52,MAX(1,MATCH(MAX(0,MIN(1,F81)),CurveData!$A$2:$A$52,1))),0),IF(AND(A81&gt;=1,A81&lt;=1+Designer!$C$13),IFERROR(INDEX(CurveData!$M$2:$M$52,MAX(1,MATCH(MAX(0,MIN(1,(A81-1)/Designer!$C$13)),CurveData!$A$2:$A$52,1))),0),0))</f>
        <v/>
      </c>
      <c r="H81">
        <f>IF(OR(Designer!$C$6="Threshold Trigger",Designer!$C$6="One-Shot"),G81,H80+(G81-H80)*IF(G81&gt;H80,IFERROR(VLOOKUP(Designer!$C$11,Lookup!$A$2:$B$7,2,FALSE),1),IFERROR(VLOOKUP(Designer!$C$12,Lookup!$A$2:$B$7,2,FALSE),1)))</f>
        <v/>
      </c>
    </row>
    <row r="82">
      <c r="A82" t="n">
        <v>4</v>
      </c>
      <c r="B82">
        <f>MIN(1,MAX(0,(A82-0.5)/3))</f>
        <v/>
      </c>
      <c r="C82">
        <f>IF(AND(A82&gt;=1,A82&lt;3.5),1,0)</f>
        <v/>
      </c>
      <c r="D82">
        <f>IF(AND(A82&gt;=1,A82&lt;1.3),1,0)</f>
        <v/>
      </c>
      <c r="E82">
        <f>0.5+0.5*SIN(2*PI()*A82/2)</f>
        <v/>
      </c>
      <c r="F82">
        <f>IFERROR(INDEX(B82:E82,1,MATCH(Designer!$C$17,B$1:E$1,0)),0)</f>
        <v/>
      </c>
      <c r="G82">
        <f>IF(OR(Designer!$C$6="Tracking",Designer!$C$6="Switch"),IFERROR(INDEX(CurveData!$M$2:$M$52,MAX(1,MATCH(MAX(0,MIN(1,F82)),CurveData!$A$2:$A$52,1))),0),IF(AND(A82&gt;=1,A82&lt;=1+Designer!$C$13),IFERROR(INDEX(CurveData!$M$2:$M$52,MAX(1,MATCH(MAX(0,MIN(1,(A82-1)/Designer!$C$13)),CurveData!$A$2:$A$52,1))),0),0))</f>
        <v/>
      </c>
      <c r="H82">
        <f>IF(OR(Designer!$C$6="Threshold Trigger",Designer!$C$6="One-Shot"),G82,H81+(G82-H81)*IF(G82&gt;H81,IFERROR(VLOOKUP(Designer!$C$11,Lookup!$A$2:$B$7,2,FALSE),1),IFERROR(VLOOKUP(Designer!$C$12,Lookup!$A$2:$B$7,2,FALSE),1)))</f>
        <v/>
      </c>
    </row>
    <row r="83">
      <c r="A83" t="n">
        <v>4.05</v>
      </c>
      <c r="B83">
        <f>MIN(1,MAX(0,(A83-0.5)/3))</f>
        <v/>
      </c>
      <c r="C83">
        <f>IF(AND(A83&gt;=1,A83&lt;3.5),1,0)</f>
        <v/>
      </c>
      <c r="D83">
        <f>IF(AND(A83&gt;=1,A83&lt;1.3),1,0)</f>
        <v/>
      </c>
      <c r="E83">
        <f>0.5+0.5*SIN(2*PI()*A83/2)</f>
        <v/>
      </c>
      <c r="F83">
        <f>IFERROR(INDEX(B83:E83,1,MATCH(Designer!$C$17,B$1:E$1,0)),0)</f>
        <v/>
      </c>
      <c r="G83">
        <f>IF(OR(Designer!$C$6="Tracking",Designer!$C$6="Switch"),IFERROR(INDEX(CurveData!$M$2:$M$52,MAX(1,MATCH(MAX(0,MIN(1,F83)),CurveData!$A$2:$A$52,1))),0),IF(AND(A83&gt;=1,A83&lt;=1+Designer!$C$13),IFERROR(INDEX(CurveData!$M$2:$M$52,MAX(1,MATCH(MAX(0,MIN(1,(A83-1)/Designer!$C$13)),CurveData!$A$2:$A$52,1))),0),0))</f>
        <v/>
      </c>
      <c r="H83">
        <f>IF(OR(Designer!$C$6="Threshold Trigger",Designer!$C$6="One-Shot"),G83,H82+(G83-H82)*IF(G83&gt;H82,IFERROR(VLOOKUP(Designer!$C$11,Lookup!$A$2:$B$7,2,FALSE),1),IFERROR(VLOOKUP(Designer!$C$12,Lookup!$A$2:$B$7,2,FALSE),1)))</f>
        <v/>
      </c>
    </row>
    <row r="84">
      <c r="A84" t="n">
        <v>4.1</v>
      </c>
      <c r="B84">
        <f>MIN(1,MAX(0,(A84-0.5)/3))</f>
        <v/>
      </c>
      <c r="C84">
        <f>IF(AND(A84&gt;=1,A84&lt;3.5),1,0)</f>
        <v/>
      </c>
      <c r="D84">
        <f>IF(AND(A84&gt;=1,A84&lt;1.3),1,0)</f>
        <v/>
      </c>
      <c r="E84">
        <f>0.5+0.5*SIN(2*PI()*A84/2)</f>
        <v/>
      </c>
      <c r="F84">
        <f>IFERROR(INDEX(B84:E84,1,MATCH(Designer!$C$17,B$1:E$1,0)),0)</f>
        <v/>
      </c>
      <c r="G84">
        <f>IF(OR(Designer!$C$6="Tracking",Designer!$C$6="Switch"),IFERROR(INDEX(CurveData!$M$2:$M$52,MAX(1,MATCH(MAX(0,MIN(1,F84)),CurveData!$A$2:$A$52,1))),0),IF(AND(A84&gt;=1,A84&lt;=1+Designer!$C$13),IFERROR(INDEX(CurveData!$M$2:$M$52,MAX(1,MATCH(MAX(0,MIN(1,(A84-1)/Designer!$C$13)),CurveData!$A$2:$A$52,1))),0),0))</f>
        <v/>
      </c>
      <c r="H84">
        <f>IF(OR(Designer!$C$6="Threshold Trigger",Designer!$C$6="One-Shot"),G84,H83+(G84-H83)*IF(G84&gt;H83,IFERROR(VLOOKUP(Designer!$C$11,Lookup!$A$2:$B$7,2,FALSE),1),IFERROR(VLOOKUP(Designer!$C$12,Lookup!$A$2:$B$7,2,FALSE),1)))</f>
        <v/>
      </c>
    </row>
    <row r="85">
      <c r="A85" t="n">
        <v>4.15</v>
      </c>
      <c r="B85">
        <f>MIN(1,MAX(0,(A85-0.5)/3))</f>
        <v/>
      </c>
      <c r="C85">
        <f>IF(AND(A85&gt;=1,A85&lt;3.5),1,0)</f>
        <v/>
      </c>
      <c r="D85">
        <f>IF(AND(A85&gt;=1,A85&lt;1.3),1,0)</f>
        <v/>
      </c>
      <c r="E85">
        <f>0.5+0.5*SIN(2*PI()*A85/2)</f>
        <v/>
      </c>
      <c r="F85">
        <f>IFERROR(INDEX(B85:E85,1,MATCH(Designer!$C$17,B$1:E$1,0)),0)</f>
        <v/>
      </c>
      <c r="G85">
        <f>IF(OR(Designer!$C$6="Tracking",Designer!$C$6="Switch"),IFERROR(INDEX(CurveData!$M$2:$M$52,MAX(1,MATCH(MAX(0,MIN(1,F85)),CurveData!$A$2:$A$52,1))),0),IF(AND(A85&gt;=1,A85&lt;=1+Designer!$C$13),IFERROR(INDEX(CurveData!$M$2:$M$52,MAX(1,MATCH(MAX(0,MIN(1,(A85-1)/Designer!$C$13)),CurveData!$A$2:$A$52,1))),0),0))</f>
        <v/>
      </c>
      <c r="H85">
        <f>IF(OR(Designer!$C$6="Threshold Trigger",Designer!$C$6="One-Shot"),G85,H84+(G85-H84)*IF(G85&gt;H84,IFERROR(VLOOKUP(Designer!$C$11,Lookup!$A$2:$B$7,2,FALSE),1),IFERROR(VLOOKUP(Designer!$C$12,Lookup!$A$2:$B$7,2,FALSE),1)))</f>
        <v/>
      </c>
    </row>
    <row r="86">
      <c r="A86" t="n">
        <v>4.2</v>
      </c>
      <c r="B86">
        <f>MIN(1,MAX(0,(A86-0.5)/3))</f>
        <v/>
      </c>
      <c r="C86">
        <f>IF(AND(A86&gt;=1,A86&lt;3.5),1,0)</f>
        <v/>
      </c>
      <c r="D86">
        <f>IF(AND(A86&gt;=1,A86&lt;1.3),1,0)</f>
        <v/>
      </c>
      <c r="E86">
        <f>0.5+0.5*SIN(2*PI()*A86/2)</f>
        <v/>
      </c>
      <c r="F86">
        <f>IFERROR(INDEX(B86:E86,1,MATCH(Designer!$C$17,B$1:E$1,0)),0)</f>
        <v/>
      </c>
      <c r="G86">
        <f>IF(OR(Designer!$C$6="Tracking",Designer!$C$6="Switch"),IFERROR(INDEX(CurveData!$M$2:$M$52,MAX(1,MATCH(MAX(0,MIN(1,F86)),CurveData!$A$2:$A$52,1))),0),IF(AND(A86&gt;=1,A86&lt;=1+Designer!$C$13),IFERROR(INDEX(CurveData!$M$2:$M$52,MAX(1,MATCH(MAX(0,MIN(1,(A86-1)/Designer!$C$13)),CurveData!$A$2:$A$52,1))),0),0))</f>
        <v/>
      </c>
      <c r="H86">
        <f>IF(OR(Designer!$C$6="Threshold Trigger",Designer!$C$6="One-Shot"),G86,H85+(G86-H85)*IF(G86&gt;H85,IFERROR(VLOOKUP(Designer!$C$11,Lookup!$A$2:$B$7,2,FALSE),1),IFERROR(VLOOKUP(Designer!$C$12,Lookup!$A$2:$B$7,2,FALSE),1)))</f>
        <v/>
      </c>
    </row>
    <row r="87">
      <c r="A87" t="n">
        <v>4.25</v>
      </c>
      <c r="B87">
        <f>MIN(1,MAX(0,(A87-0.5)/3))</f>
        <v/>
      </c>
      <c r="C87">
        <f>IF(AND(A87&gt;=1,A87&lt;3.5),1,0)</f>
        <v/>
      </c>
      <c r="D87">
        <f>IF(AND(A87&gt;=1,A87&lt;1.3),1,0)</f>
        <v/>
      </c>
      <c r="E87">
        <f>0.5+0.5*SIN(2*PI()*A87/2)</f>
        <v/>
      </c>
      <c r="F87">
        <f>IFERROR(INDEX(B87:E87,1,MATCH(Designer!$C$17,B$1:E$1,0)),0)</f>
        <v/>
      </c>
      <c r="G87">
        <f>IF(OR(Designer!$C$6="Tracking",Designer!$C$6="Switch"),IFERROR(INDEX(CurveData!$M$2:$M$52,MAX(1,MATCH(MAX(0,MIN(1,F87)),CurveData!$A$2:$A$52,1))),0),IF(AND(A87&gt;=1,A87&lt;=1+Designer!$C$13),IFERROR(INDEX(CurveData!$M$2:$M$52,MAX(1,MATCH(MAX(0,MIN(1,(A87-1)/Designer!$C$13)),CurveData!$A$2:$A$52,1))),0),0))</f>
        <v/>
      </c>
      <c r="H87">
        <f>IF(OR(Designer!$C$6="Threshold Trigger",Designer!$C$6="One-Shot"),G87,H86+(G87-H86)*IF(G87&gt;H86,IFERROR(VLOOKUP(Designer!$C$11,Lookup!$A$2:$B$7,2,FALSE),1),IFERROR(VLOOKUP(Designer!$C$12,Lookup!$A$2:$B$7,2,FALSE),1)))</f>
        <v/>
      </c>
    </row>
    <row r="88">
      <c r="A88" t="n">
        <v>4.3</v>
      </c>
      <c r="B88">
        <f>MIN(1,MAX(0,(A88-0.5)/3))</f>
        <v/>
      </c>
      <c r="C88">
        <f>IF(AND(A88&gt;=1,A88&lt;3.5),1,0)</f>
        <v/>
      </c>
      <c r="D88">
        <f>IF(AND(A88&gt;=1,A88&lt;1.3),1,0)</f>
        <v/>
      </c>
      <c r="E88">
        <f>0.5+0.5*SIN(2*PI()*A88/2)</f>
        <v/>
      </c>
      <c r="F88">
        <f>IFERROR(INDEX(B88:E88,1,MATCH(Designer!$C$17,B$1:E$1,0)),0)</f>
        <v/>
      </c>
      <c r="G88">
        <f>IF(OR(Designer!$C$6="Tracking",Designer!$C$6="Switch"),IFERROR(INDEX(CurveData!$M$2:$M$52,MAX(1,MATCH(MAX(0,MIN(1,F88)),CurveData!$A$2:$A$52,1))),0),IF(AND(A88&gt;=1,A88&lt;=1+Designer!$C$13),IFERROR(INDEX(CurveData!$M$2:$M$52,MAX(1,MATCH(MAX(0,MIN(1,(A88-1)/Designer!$C$13)),CurveData!$A$2:$A$52,1))),0),0))</f>
        <v/>
      </c>
      <c r="H88">
        <f>IF(OR(Designer!$C$6="Threshold Trigger",Designer!$C$6="One-Shot"),G88,H87+(G88-H87)*IF(G88&gt;H87,IFERROR(VLOOKUP(Designer!$C$11,Lookup!$A$2:$B$7,2,FALSE),1),IFERROR(VLOOKUP(Designer!$C$12,Lookup!$A$2:$B$7,2,FALSE),1)))</f>
        <v/>
      </c>
    </row>
    <row r="89">
      <c r="A89" t="n">
        <v>4.35</v>
      </c>
      <c r="B89">
        <f>MIN(1,MAX(0,(A89-0.5)/3))</f>
        <v/>
      </c>
      <c r="C89">
        <f>IF(AND(A89&gt;=1,A89&lt;3.5),1,0)</f>
        <v/>
      </c>
      <c r="D89">
        <f>IF(AND(A89&gt;=1,A89&lt;1.3),1,0)</f>
        <v/>
      </c>
      <c r="E89">
        <f>0.5+0.5*SIN(2*PI()*A89/2)</f>
        <v/>
      </c>
      <c r="F89">
        <f>IFERROR(INDEX(B89:E89,1,MATCH(Designer!$C$17,B$1:E$1,0)),0)</f>
        <v/>
      </c>
      <c r="G89">
        <f>IF(OR(Designer!$C$6="Tracking",Designer!$C$6="Switch"),IFERROR(INDEX(CurveData!$M$2:$M$52,MAX(1,MATCH(MAX(0,MIN(1,F89)),CurveData!$A$2:$A$52,1))),0),IF(AND(A89&gt;=1,A89&lt;=1+Designer!$C$13),IFERROR(INDEX(CurveData!$M$2:$M$52,MAX(1,MATCH(MAX(0,MIN(1,(A89-1)/Designer!$C$13)),CurveData!$A$2:$A$52,1))),0),0))</f>
        <v/>
      </c>
      <c r="H89">
        <f>IF(OR(Designer!$C$6="Threshold Trigger",Designer!$C$6="One-Shot"),G89,H88+(G89-H88)*IF(G89&gt;H88,IFERROR(VLOOKUP(Designer!$C$11,Lookup!$A$2:$B$7,2,FALSE),1),IFERROR(VLOOKUP(Designer!$C$12,Lookup!$A$2:$B$7,2,FALSE),1)))</f>
        <v/>
      </c>
    </row>
    <row r="90">
      <c r="A90" t="n">
        <v>4.4</v>
      </c>
      <c r="B90">
        <f>MIN(1,MAX(0,(A90-0.5)/3))</f>
        <v/>
      </c>
      <c r="C90">
        <f>IF(AND(A90&gt;=1,A90&lt;3.5),1,0)</f>
        <v/>
      </c>
      <c r="D90">
        <f>IF(AND(A90&gt;=1,A90&lt;1.3),1,0)</f>
        <v/>
      </c>
      <c r="E90">
        <f>0.5+0.5*SIN(2*PI()*A90/2)</f>
        <v/>
      </c>
      <c r="F90">
        <f>IFERROR(INDEX(B90:E90,1,MATCH(Designer!$C$17,B$1:E$1,0)),0)</f>
        <v/>
      </c>
      <c r="G90">
        <f>IF(OR(Designer!$C$6="Tracking",Designer!$C$6="Switch"),IFERROR(INDEX(CurveData!$M$2:$M$52,MAX(1,MATCH(MAX(0,MIN(1,F90)),CurveData!$A$2:$A$52,1))),0),IF(AND(A90&gt;=1,A90&lt;=1+Designer!$C$13),IFERROR(INDEX(CurveData!$M$2:$M$52,MAX(1,MATCH(MAX(0,MIN(1,(A90-1)/Designer!$C$13)),CurveData!$A$2:$A$52,1))),0),0))</f>
        <v/>
      </c>
      <c r="H90">
        <f>IF(OR(Designer!$C$6="Threshold Trigger",Designer!$C$6="One-Shot"),G90,H89+(G90-H89)*IF(G90&gt;H89,IFERROR(VLOOKUP(Designer!$C$11,Lookup!$A$2:$B$7,2,FALSE),1),IFERROR(VLOOKUP(Designer!$C$12,Lookup!$A$2:$B$7,2,FALSE),1)))</f>
        <v/>
      </c>
    </row>
    <row r="91">
      <c r="A91" t="n">
        <v>4.45</v>
      </c>
      <c r="B91">
        <f>MIN(1,MAX(0,(A91-0.5)/3))</f>
        <v/>
      </c>
      <c r="C91">
        <f>IF(AND(A91&gt;=1,A91&lt;3.5),1,0)</f>
        <v/>
      </c>
      <c r="D91">
        <f>IF(AND(A91&gt;=1,A91&lt;1.3),1,0)</f>
        <v/>
      </c>
      <c r="E91">
        <f>0.5+0.5*SIN(2*PI()*A91/2)</f>
        <v/>
      </c>
      <c r="F91">
        <f>IFERROR(INDEX(B91:E91,1,MATCH(Designer!$C$17,B$1:E$1,0)),0)</f>
        <v/>
      </c>
      <c r="G91">
        <f>IF(OR(Designer!$C$6="Tracking",Designer!$C$6="Switch"),IFERROR(INDEX(CurveData!$M$2:$M$52,MAX(1,MATCH(MAX(0,MIN(1,F91)),CurveData!$A$2:$A$52,1))),0),IF(AND(A91&gt;=1,A91&lt;=1+Designer!$C$13),IFERROR(INDEX(CurveData!$M$2:$M$52,MAX(1,MATCH(MAX(0,MIN(1,(A91-1)/Designer!$C$13)),CurveData!$A$2:$A$52,1))),0),0))</f>
        <v/>
      </c>
      <c r="H91">
        <f>IF(OR(Designer!$C$6="Threshold Trigger",Designer!$C$6="One-Shot"),G91,H90+(G91-H90)*IF(G91&gt;H90,IFERROR(VLOOKUP(Designer!$C$11,Lookup!$A$2:$B$7,2,FALSE),1),IFERROR(VLOOKUP(Designer!$C$12,Lookup!$A$2:$B$7,2,FALSE),1)))</f>
        <v/>
      </c>
    </row>
    <row r="92">
      <c r="A92" t="n">
        <v>4.5</v>
      </c>
      <c r="B92">
        <f>MIN(1,MAX(0,(A92-0.5)/3))</f>
        <v/>
      </c>
      <c r="C92">
        <f>IF(AND(A92&gt;=1,A92&lt;3.5),1,0)</f>
        <v/>
      </c>
      <c r="D92">
        <f>IF(AND(A92&gt;=1,A92&lt;1.3),1,0)</f>
        <v/>
      </c>
      <c r="E92">
        <f>0.5+0.5*SIN(2*PI()*A92/2)</f>
        <v/>
      </c>
      <c r="F92">
        <f>IFERROR(INDEX(B92:E92,1,MATCH(Designer!$C$17,B$1:E$1,0)),0)</f>
        <v/>
      </c>
      <c r="G92">
        <f>IF(OR(Designer!$C$6="Tracking",Designer!$C$6="Switch"),IFERROR(INDEX(CurveData!$M$2:$M$52,MAX(1,MATCH(MAX(0,MIN(1,F92)),CurveData!$A$2:$A$52,1))),0),IF(AND(A92&gt;=1,A92&lt;=1+Designer!$C$13),IFERROR(INDEX(CurveData!$M$2:$M$52,MAX(1,MATCH(MAX(0,MIN(1,(A92-1)/Designer!$C$13)),CurveData!$A$2:$A$52,1))),0),0))</f>
        <v/>
      </c>
      <c r="H92">
        <f>IF(OR(Designer!$C$6="Threshold Trigger",Designer!$C$6="One-Shot"),G92,H91+(G92-H91)*IF(G92&gt;H91,IFERROR(VLOOKUP(Designer!$C$11,Lookup!$A$2:$B$7,2,FALSE),1),IFERROR(VLOOKUP(Designer!$C$12,Lookup!$A$2:$B$7,2,FALSE),1)))</f>
        <v/>
      </c>
    </row>
    <row r="93">
      <c r="A93" t="n">
        <v>4.55</v>
      </c>
      <c r="B93">
        <f>MIN(1,MAX(0,(A93-0.5)/3))</f>
        <v/>
      </c>
      <c r="C93">
        <f>IF(AND(A93&gt;=1,A93&lt;3.5),1,0)</f>
        <v/>
      </c>
      <c r="D93">
        <f>IF(AND(A93&gt;=1,A93&lt;1.3),1,0)</f>
        <v/>
      </c>
      <c r="E93">
        <f>0.5+0.5*SIN(2*PI()*A93/2)</f>
        <v/>
      </c>
      <c r="F93">
        <f>IFERROR(INDEX(B93:E93,1,MATCH(Designer!$C$17,B$1:E$1,0)),0)</f>
        <v/>
      </c>
      <c r="G93">
        <f>IF(OR(Designer!$C$6="Tracking",Designer!$C$6="Switch"),IFERROR(INDEX(CurveData!$M$2:$M$52,MAX(1,MATCH(MAX(0,MIN(1,F93)),CurveData!$A$2:$A$52,1))),0),IF(AND(A93&gt;=1,A93&lt;=1+Designer!$C$13),IFERROR(INDEX(CurveData!$M$2:$M$52,MAX(1,MATCH(MAX(0,MIN(1,(A93-1)/Designer!$C$13)),CurveData!$A$2:$A$52,1))),0),0))</f>
        <v/>
      </c>
      <c r="H93">
        <f>IF(OR(Designer!$C$6="Threshold Trigger",Designer!$C$6="One-Shot"),G93,H92+(G93-H92)*IF(G93&gt;H92,IFERROR(VLOOKUP(Designer!$C$11,Lookup!$A$2:$B$7,2,FALSE),1),IFERROR(VLOOKUP(Designer!$C$12,Lookup!$A$2:$B$7,2,FALSE),1)))</f>
        <v/>
      </c>
    </row>
    <row r="94">
      <c r="A94" t="n">
        <v>4.6</v>
      </c>
      <c r="B94">
        <f>MIN(1,MAX(0,(A94-0.5)/3))</f>
        <v/>
      </c>
      <c r="C94">
        <f>IF(AND(A94&gt;=1,A94&lt;3.5),1,0)</f>
        <v/>
      </c>
      <c r="D94">
        <f>IF(AND(A94&gt;=1,A94&lt;1.3),1,0)</f>
        <v/>
      </c>
      <c r="E94">
        <f>0.5+0.5*SIN(2*PI()*A94/2)</f>
        <v/>
      </c>
      <c r="F94">
        <f>IFERROR(INDEX(B94:E94,1,MATCH(Designer!$C$17,B$1:E$1,0)),0)</f>
        <v/>
      </c>
      <c r="G94">
        <f>IF(OR(Designer!$C$6="Tracking",Designer!$C$6="Switch"),IFERROR(INDEX(CurveData!$M$2:$M$52,MAX(1,MATCH(MAX(0,MIN(1,F94)),CurveData!$A$2:$A$52,1))),0),IF(AND(A94&gt;=1,A94&lt;=1+Designer!$C$13),IFERROR(INDEX(CurveData!$M$2:$M$52,MAX(1,MATCH(MAX(0,MIN(1,(A94-1)/Designer!$C$13)),CurveData!$A$2:$A$52,1))),0),0))</f>
        <v/>
      </c>
      <c r="H94">
        <f>IF(OR(Designer!$C$6="Threshold Trigger",Designer!$C$6="One-Shot"),G94,H93+(G94-H93)*IF(G94&gt;H93,IFERROR(VLOOKUP(Designer!$C$11,Lookup!$A$2:$B$7,2,FALSE),1),IFERROR(VLOOKUP(Designer!$C$12,Lookup!$A$2:$B$7,2,FALSE),1)))</f>
        <v/>
      </c>
    </row>
    <row r="95">
      <c r="A95" t="n">
        <v>4.65</v>
      </c>
      <c r="B95">
        <f>MIN(1,MAX(0,(A95-0.5)/3))</f>
        <v/>
      </c>
      <c r="C95">
        <f>IF(AND(A95&gt;=1,A95&lt;3.5),1,0)</f>
        <v/>
      </c>
      <c r="D95">
        <f>IF(AND(A95&gt;=1,A95&lt;1.3),1,0)</f>
        <v/>
      </c>
      <c r="E95">
        <f>0.5+0.5*SIN(2*PI()*A95/2)</f>
        <v/>
      </c>
      <c r="F95">
        <f>IFERROR(INDEX(B95:E95,1,MATCH(Designer!$C$17,B$1:E$1,0)),0)</f>
        <v/>
      </c>
      <c r="G95">
        <f>IF(OR(Designer!$C$6="Tracking",Designer!$C$6="Switch"),IFERROR(INDEX(CurveData!$M$2:$M$52,MAX(1,MATCH(MAX(0,MIN(1,F95)),CurveData!$A$2:$A$52,1))),0),IF(AND(A95&gt;=1,A95&lt;=1+Designer!$C$13),IFERROR(INDEX(CurveData!$M$2:$M$52,MAX(1,MATCH(MAX(0,MIN(1,(A95-1)/Designer!$C$13)),CurveData!$A$2:$A$52,1))),0),0))</f>
        <v/>
      </c>
      <c r="H95">
        <f>IF(OR(Designer!$C$6="Threshold Trigger",Designer!$C$6="One-Shot"),G95,H94+(G95-H94)*IF(G95&gt;H94,IFERROR(VLOOKUP(Designer!$C$11,Lookup!$A$2:$B$7,2,FALSE),1),IFERROR(VLOOKUP(Designer!$C$12,Lookup!$A$2:$B$7,2,FALSE),1)))</f>
        <v/>
      </c>
    </row>
    <row r="96">
      <c r="A96" t="n">
        <v>4.7</v>
      </c>
      <c r="B96">
        <f>MIN(1,MAX(0,(A96-0.5)/3))</f>
        <v/>
      </c>
      <c r="C96">
        <f>IF(AND(A96&gt;=1,A96&lt;3.5),1,0)</f>
        <v/>
      </c>
      <c r="D96">
        <f>IF(AND(A96&gt;=1,A96&lt;1.3),1,0)</f>
        <v/>
      </c>
      <c r="E96">
        <f>0.5+0.5*SIN(2*PI()*A96/2)</f>
        <v/>
      </c>
      <c r="F96">
        <f>IFERROR(INDEX(B96:E96,1,MATCH(Designer!$C$17,B$1:E$1,0)),0)</f>
        <v/>
      </c>
      <c r="G96">
        <f>IF(OR(Designer!$C$6="Tracking",Designer!$C$6="Switch"),IFERROR(INDEX(CurveData!$M$2:$M$52,MAX(1,MATCH(MAX(0,MIN(1,F96)),CurveData!$A$2:$A$52,1))),0),IF(AND(A96&gt;=1,A96&lt;=1+Designer!$C$13),IFERROR(INDEX(CurveData!$M$2:$M$52,MAX(1,MATCH(MAX(0,MIN(1,(A96-1)/Designer!$C$13)),CurveData!$A$2:$A$52,1))),0),0))</f>
        <v/>
      </c>
      <c r="H96">
        <f>IF(OR(Designer!$C$6="Threshold Trigger",Designer!$C$6="One-Shot"),G96,H95+(G96-H95)*IF(G96&gt;H95,IFERROR(VLOOKUP(Designer!$C$11,Lookup!$A$2:$B$7,2,FALSE),1),IFERROR(VLOOKUP(Designer!$C$12,Lookup!$A$2:$B$7,2,FALSE),1)))</f>
        <v/>
      </c>
    </row>
    <row r="97">
      <c r="A97" t="n">
        <v>4.75</v>
      </c>
      <c r="B97">
        <f>MIN(1,MAX(0,(A97-0.5)/3))</f>
        <v/>
      </c>
      <c r="C97">
        <f>IF(AND(A97&gt;=1,A97&lt;3.5),1,0)</f>
        <v/>
      </c>
      <c r="D97">
        <f>IF(AND(A97&gt;=1,A97&lt;1.3),1,0)</f>
        <v/>
      </c>
      <c r="E97">
        <f>0.5+0.5*SIN(2*PI()*A97/2)</f>
        <v/>
      </c>
      <c r="F97">
        <f>IFERROR(INDEX(B97:E97,1,MATCH(Designer!$C$17,B$1:E$1,0)),0)</f>
        <v/>
      </c>
      <c r="G97">
        <f>IF(OR(Designer!$C$6="Tracking",Designer!$C$6="Switch"),IFERROR(INDEX(CurveData!$M$2:$M$52,MAX(1,MATCH(MAX(0,MIN(1,F97)),CurveData!$A$2:$A$52,1))),0),IF(AND(A97&gt;=1,A97&lt;=1+Designer!$C$13),IFERROR(INDEX(CurveData!$M$2:$M$52,MAX(1,MATCH(MAX(0,MIN(1,(A97-1)/Designer!$C$13)),CurveData!$A$2:$A$52,1))),0),0))</f>
        <v/>
      </c>
      <c r="H97">
        <f>IF(OR(Designer!$C$6="Threshold Trigger",Designer!$C$6="One-Shot"),G97,H96+(G97-H96)*IF(G97&gt;H96,IFERROR(VLOOKUP(Designer!$C$11,Lookup!$A$2:$B$7,2,FALSE),1),IFERROR(VLOOKUP(Designer!$C$12,Lookup!$A$2:$B$7,2,FALSE),1)))</f>
        <v/>
      </c>
    </row>
    <row r="98">
      <c r="A98" t="n">
        <v>4.8</v>
      </c>
      <c r="B98">
        <f>MIN(1,MAX(0,(A98-0.5)/3))</f>
        <v/>
      </c>
      <c r="C98">
        <f>IF(AND(A98&gt;=1,A98&lt;3.5),1,0)</f>
        <v/>
      </c>
      <c r="D98">
        <f>IF(AND(A98&gt;=1,A98&lt;1.3),1,0)</f>
        <v/>
      </c>
      <c r="E98">
        <f>0.5+0.5*SIN(2*PI()*A98/2)</f>
        <v/>
      </c>
      <c r="F98">
        <f>IFERROR(INDEX(B98:E98,1,MATCH(Designer!$C$17,B$1:E$1,0)),0)</f>
        <v/>
      </c>
      <c r="G98">
        <f>IF(OR(Designer!$C$6="Tracking",Designer!$C$6="Switch"),IFERROR(INDEX(CurveData!$M$2:$M$52,MAX(1,MATCH(MAX(0,MIN(1,F98)),CurveData!$A$2:$A$52,1))),0),IF(AND(A98&gt;=1,A98&lt;=1+Designer!$C$13),IFERROR(INDEX(CurveData!$M$2:$M$52,MAX(1,MATCH(MAX(0,MIN(1,(A98-1)/Designer!$C$13)),CurveData!$A$2:$A$52,1))),0),0))</f>
        <v/>
      </c>
      <c r="H98">
        <f>IF(OR(Designer!$C$6="Threshold Trigger",Designer!$C$6="One-Shot"),G98,H97+(G98-H97)*IF(G98&gt;H97,IFERROR(VLOOKUP(Designer!$C$11,Lookup!$A$2:$B$7,2,FALSE),1),IFERROR(VLOOKUP(Designer!$C$12,Lookup!$A$2:$B$7,2,FALSE),1)))</f>
        <v/>
      </c>
    </row>
    <row r="99">
      <c r="A99" t="n">
        <v>4.85</v>
      </c>
      <c r="B99">
        <f>MIN(1,MAX(0,(A99-0.5)/3))</f>
        <v/>
      </c>
      <c r="C99">
        <f>IF(AND(A99&gt;=1,A99&lt;3.5),1,0)</f>
        <v/>
      </c>
      <c r="D99">
        <f>IF(AND(A99&gt;=1,A99&lt;1.3),1,0)</f>
        <v/>
      </c>
      <c r="E99">
        <f>0.5+0.5*SIN(2*PI()*A99/2)</f>
        <v/>
      </c>
      <c r="F99">
        <f>IFERROR(INDEX(B99:E99,1,MATCH(Designer!$C$17,B$1:E$1,0)),0)</f>
        <v/>
      </c>
      <c r="G99">
        <f>IF(OR(Designer!$C$6="Tracking",Designer!$C$6="Switch"),IFERROR(INDEX(CurveData!$M$2:$M$52,MAX(1,MATCH(MAX(0,MIN(1,F99)),CurveData!$A$2:$A$52,1))),0),IF(AND(A99&gt;=1,A99&lt;=1+Designer!$C$13),IFERROR(INDEX(CurveData!$M$2:$M$52,MAX(1,MATCH(MAX(0,MIN(1,(A99-1)/Designer!$C$13)),CurveData!$A$2:$A$52,1))),0),0))</f>
        <v/>
      </c>
      <c r="H99">
        <f>IF(OR(Designer!$C$6="Threshold Trigger",Designer!$C$6="One-Shot"),G99,H98+(G99-H98)*IF(G99&gt;H98,IFERROR(VLOOKUP(Designer!$C$11,Lookup!$A$2:$B$7,2,FALSE),1),IFERROR(VLOOKUP(Designer!$C$12,Lookup!$A$2:$B$7,2,FALSE),1)))</f>
        <v/>
      </c>
    </row>
    <row r="100">
      <c r="A100" t="n">
        <v>4.9</v>
      </c>
      <c r="B100">
        <f>MIN(1,MAX(0,(A100-0.5)/3))</f>
        <v/>
      </c>
      <c r="C100">
        <f>IF(AND(A100&gt;=1,A100&lt;3.5),1,0)</f>
        <v/>
      </c>
      <c r="D100">
        <f>IF(AND(A100&gt;=1,A100&lt;1.3),1,0)</f>
        <v/>
      </c>
      <c r="E100">
        <f>0.5+0.5*SIN(2*PI()*A100/2)</f>
        <v/>
      </c>
      <c r="F100">
        <f>IFERROR(INDEX(B100:E100,1,MATCH(Designer!$C$17,B$1:E$1,0)),0)</f>
        <v/>
      </c>
      <c r="G100">
        <f>IF(OR(Designer!$C$6="Tracking",Designer!$C$6="Switch"),IFERROR(INDEX(CurveData!$M$2:$M$52,MAX(1,MATCH(MAX(0,MIN(1,F100)),CurveData!$A$2:$A$52,1))),0),IF(AND(A100&gt;=1,A100&lt;=1+Designer!$C$13),IFERROR(INDEX(CurveData!$M$2:$M$52,MAX(1,MATCH(MAX(0,MIN(1,(A100-1)/Designer!$C$13)),CurveData!$A$2:$A$52,1))),0),0))</f>
        <v/>
      </c>
      <c r="H100">
        <f>IF(OR(Designer!$C$6="Threshold Trigger",Designer!$C$6="One-Shot"),G100,H99+(G100-H99)*IF(G100&gt;H99,IFERROR(VLOOKUP(Designer!$C$11,Lookup!$A$2:$B$7,2,FALSE),1),IFERROR(VLOOKUP(Designer!$C$12,Lookup!$A$2:$B$7,2,FALSE),1)))</f>
        <v/>
      </c>
    </row>
    <row r="101">
      <c r="A101" t="n">
        <v>4.95</v>
      </c>
      <c r="B101">
        <f>MIN(1,MAX(0,(A101-0.5)/3))</f>
        <v/>
      </c>
      <c r="C101">
        <f>IF(AND(A101&gt;=1,A101&lt;3.5),1,0)</f>
        <v/>
      </c>
      <c r="D101">
        <f>IF(AND(A101&gt;=1,A101&lt;1.3),1,0)</f>
        <v/>
      </c>
      <c r="E101">
        <f>0.5+0.5*SIN(2*PI()*A101/2)</f>
        <v/>
      </c>
      <c r="F101">
        <f>IFERROR(INDEX(B101:E101,1,MATCH(Designer!$C$17,B$1:E$1,0)),0)</f>
        <v/>
      </c>
      <c r="G101">
        <f>IF(OR(Designer!$C$6="Tracking",Designer!$C$6="Switch"),IFERROR(INDEX(CurveData!$M$2:$M$52,MAX(1,MATCH(MAX(0,MIN(1,F101)),CurveData!$A$2:$A$52,1))),0),IF(AND(A101&gt;=1,A101&lt;=1+Designer!$C$13),IFERROR(INDEX(CurveData!$M$2:$M$52,MAX(1,MATCH(MAX(0,MIN(1,(A101-1)/Designer!$C$13)),CurveData!$A$2:$A$52,1))),0),0))</f>
        <v/>
      </c>
      <c r="H101">
        <f>IF(OR(Designer!$C$6="Threshold Trigger",Designer!$C$6="One-Shot"),G101,H100+(G101-H100)*IF(G101&gt;H100,IFERROR(VLOOKUP(Designer!$C$11,Lookup!$A$2:$B$7,2,FALSE),1),IFERROR(VLOOKUP(Designer!$C$12,Lookup!$A$2:$B$7,2,FALSE),1)))</f>
        <v/>
      </c>
    </row>
    <row r="102">
      <c r="A102" t="n">
        <v>5</v>
      </c>
      <c r="B102">
        <f>MIN(1,MAX(0,(A102-0.5)/3))</f>
        <v/>
      </c>
      <c r="C102">
        <f>IF(AND(A102&gt;=1,A102&lt;3.5),1,0)</f>
        <v/>
      </c>
      <c r="D102">
        <f>IF(AND(A102&gt;=1,A102&lt;1.3),1,0)</f>
        <v/>
      </c>
      <c r="E102">
        <f>0.5+0.5*SIN(2*PI()*A102/2)</f>
        <v/>
      </c>
      <c r="F102">
        <f>IFERROR(INDEX(B102:E102,1,MATCH(Designer!$C$17,B$1:E$1,0)),0)</f>
        <v/>
      </c>
      <c r="G102">
        <f>IF(OR(Designer!$C$6="Tracking",Designer!$C$6="Switch"),IFERROR(INDEX(CurveData!$M$2:$M$52,MAX(1,MATCH(MAX(0,MIN(1,F102)),CurveData!$A$2:$A$52,1))),0),IF(AND(A102&gt;=1,A102&lt;=1+Designer!$C$13),IFERROR(INDEX(CurveData!$M$2:$M$52,MAX(1,MATCH(MAX(0,MIN(1,(A102-1)/Designer!$C$13)),CurveData!$A$2:$A$52,1))),0),0))</f>
        <v/>
      </c>
      <c r="H102">
        <f>IF(OR(Designer!$C$6="Threshold Trigger",Designer!$C$6="One-Shot"),G102,H101+(G102-H101)*IF(G102&gt;H101,IFERROR(VLOOKUP(Designer!$C$11,Lookup!$A$2:$B$7,2,FALSE),1),IFERROR(VLOOKUP(Designer!$C$12,Lookup!$A$2:$B$7,2,FALSE),1)))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2026-03-31T03:14:58Z</dcterms:created>
  <dcterms:modified xmlns:dcterms="http://purl.org/dc/terms/" xmlns:xsi="http://www.w3.org/2001/XMLSchema-instance" xsi:type="dcterms:W3CDTF">2026-03-31T03:14:58Z</dcterms:modified>
</cp:coreProperties>
</file>